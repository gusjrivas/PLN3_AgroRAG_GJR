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Repo\PLN3_AgroRAG_GJR\outputs\agro-rag-review\"/>
    </mc:Choice>
  </mc:AlternateContent>
  <xr:revisionPtr revIDLastSave="0" documentId="13_ncr:1_{A2949509-D4BE-4812-8079-6EC190BFDBF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men" sheetId="1" r:id="rId1"/>
    <sheet name="Ca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5" i="2" l="1"/>
  <c r="S65" i="2"/>
  <c r="R65" i="2"/>
  <c r="T64" i="2"/>
  <c r="S64" i="2"/>
  <c r="R64" i="2"/>
  <c r="T63" i="2"/>
  <c r="S63" i="2"/>
  <c r="R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T56" i="2"/>
  <c r="S56" i="2"/>
  <c r="R56" i="2"/>
  <c r="T55" i="2"/>
  <c r="S55" i="2"/>
  <c r="R55" i="2"/>
  <c r="T54" i="2"/>
  <c r="S54" i="2"/>
  <c r="R54" i="2"/>
  <c r="T53" i="2"/>
  <c r="S53" i="2"/>
  <c r="R53" i="2"/>
  <c r="T52" i="2"/>
  <c r="S52" i="2"/>
  <c r="R52" i="2"/>
  <c r="T51" i="2"/>
  <c r="S51" i="2"/>
  <c r="R51" i="2"/>
  <c r="T50" i="2"/>
  <c r="S50" i="2"/>
  <c r="R50" i="2"/>
  <c r="T49" i="2"/>
  <c r="S49" i="2"/>
  <c r="R49" i="2"/>
  <c r="T48" i="2"/>
  <c r="S48" i="2"/>
  <c r="R48" i="2"/>
  <c r="T47" i="2"/>
  <c r="S47" i="2"/>
  <c r="R47" i="2"/>
  <c r="T46" i="2"/>
  <c r="S46" i="2"/>
  <c r="R46" i="2"/>
  <c r="T45" i="2"/>
  <c r="S45" i="2"/>
  <c r="R45" i="2"/>
  <c r="T44" i="2"/>
  <c r="S44" i="2"/>
  <c r="R44" i="2"/>
  <c r="T43" i="2"/>
  <c r="S43" i="2"/>
  <c r="R43" i="2"/>
  <c r="T42" i="2"/>
  <c r="S42" i="2"/>
  <c r="R42" i="2"/>
  <c r="T41" i="2"/>
  <c r="S41" i="2"/>
  <c r="R41" i="2"/>
  <c r="T40" i="2"/>
  <c r="S40" i="2"/>
  <c r="R40" i="2"/>
  <c r="T39" i="2"/>
  <c r="S39" i="2"/>
  <c r="R39" i="2"/>
  <c r="T38" i="2"/>
  <c r="S38" i="2"/>
  <c r="R38" i="2"/>
  <c r="T37" i="2"/>
  <c r="S37" i="2"/>
  <c r="R37" i="2"/>
  <c r="T36" i="2"/>
  <c r="S36" i="2"/>
  <c r="R36" i="2"/>
  <c r="T35" i="2"/>
  <c r="S35" i="2"/>
  <c r="R35" i="2"/>
  <c r="T34" i="2"/>
  <c r="S34" i="2"/>
  <c r="R34" i="2"/>
  <c r="T33" i="2"/>
  <c r="S33" i="2"/>
  <c r="R33" i="2"/>
  <c r="T32" i="2"/>
  <c r="S32" i="2"/>
  <c r="R32" i="2"/>
  <c r="T31" i="2"/>
  <c r="S31" i="2"/>
  <c r="R3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  <c r="T8" i="2"/>
  <c r="S8" i="2"/>
  <c r="R8" i="2"/>
  <c r="T7" i="2"/>
  <c r="S7" i="2"/>
  <c r="R7" i="2"/>
  <c r="T6" i="2"/>
  <c r="S6" i="2"/>
  <c r="R6" i="2"/>
  <c r="D24" i="1"/>
  <c r="C24" i="1"/>
  <c r="B24" i="1"/>
  <c r="D23" i="1"/>
  <c r="C23" i="1"/>
  <c r="B23" i="1"/>
  <c r="D22" i="1"/>
  <c r="C22" i="1"/>
  <c r="B22" i="1"/>
  <c r="E11" i="1"/>
  <c r="E10" i="1"/>
  <c r="E9" i="1"/>
  <c r="E7" i="1"/>
  <c r="E6" i="1"/>
  <c r="C25" i="1" l="1"/>
  <c r="D25" i="1"/>
  <c r="B25" i="1"/>
  <c r="E8" i="1"/>
  <c r="H7" i="1" s="1"/>
  <c r="H6" i="1"/>
</calcChain>
</file>

<file path=xl/sharedStrings.xml><?xml version="1.0" encoding="utf-8"?>
<sst xmlns="http://schemas.openxmlformats.org/spreadsheetml/2006/main" count="655" uniqueCount="304">
  <si>
    <t>Revisión manual del benchmark AgroRAG</t>
  </si>
  <si>
    <t>Complete los campos amarillos. La revisión humana debe evaluar estado, contenido factual y citas.</t>
  </si>
  <si>
    <t>Revisor</t>
  </si>
  <si>
    <t>Métrica</t>
  </si>
  <si>
    <t>Resultado</t>
  </si>
  <si>
    <t>Avance</t>
  </si>
  <si>
    <t>Fecha de revisión</t>
  </si>
  <si>
    <t>Casos totales</t>
  </si>
  <si>
    <t>Porcentaje completo</t>
  </si>
  <si>
    <t>Commit evaluado</t>
  </si>
  <si>
    <t>478cbe2</t>
  </si>
  <si>
    <t>Casos completados</t>
  </si>
  <si>
    <t>Estado</t>
  </si>
  <si>
    <t>Modelo o proveedor</t>
  </si>
  <si>
    <t>Casos pendientes</t>
  </si>
  <si>
    <t>Fuente de casos</t>
  </si>
  <si>
    <t>benchmark-60-draft.jsonl</t>
  </si>
  <si>
    <t>PASS</t>
  </si>
  <si>
    <t>FAIL</t>
  </si>
  <si>
    <t>DUDOSO</t>
  </si>
  <si>
    <t>Criterios de revisión</t>
  </si>
  <si>
    <t>1. Ejecute la pregunta en la app y registre el estado observado y la respuesta visible.</t>
  </si>
  <si>
    <t>2. Marque Revisión factual PASS sólo si las afirmaciones coinciden con la respuesta de referencia y el corpus.</t>
  </si>
  <si>
    <t>3. Marque Revisión de citas PASS sólo si las fuentes citadas respaldan las afirmaciones. Use NO APLICA cuando el sistema aclara o se abstiene.</t>
  </si>
  <si>
    <t>4. Resultado general PASS exige estado correcto, contenido factual correcto y citas correctas cuando corresponden.</t>
  </si>
  <si>
    <t>5. Use DUDOSO cuando la etiqueta esperada o la evidencia requieran una segunda revisión.</t>
  </si>
  <si>
    <t>6. Al terminar, adjunte este archivo. No cambie query_id ni los datos fuente de las columnas A:J.</t>
  </si>
  <si>
    <t>Estado esperado</t>
  </si>
  <si>
    <t>Total</t>
  </si>
  <si>
    <t>Completados</t>
  </si>
  <si>
    <t>answered</t>
  </si>
  <si>
    <t>needs_clarification</t>
  </si>
  <si>
    <t>insufficient_evidence</t>
  </si>
  <si>
    <t>TOTAL</t>
  </si>
  <si>
    <t>Casos para revisión manual</t>
  </si>
  <si>
    <t>Complete únicamente las columnas amarillas K:Q. Use filtros para revisar por split, categoría o resultado.</t>
  </si>
  <si>
    <t>query_id</t>
  </si>
  <si>
    <t>split</t>
  </si>
  <si>
    <t>category</t>
  </si>
  <si>
    <t>crop</t>
  </si>
  <si>
    <t>question</t>
  </si>
  <si>
    <t>expected_status</t>
  </si>
  <si>
    <t>reference_answer</t>
  </si>
  <si>
    <t>required_claims</t>
  </si>
  <si>
    <t>source_pages</t>
  </si>
  <si>
    <t>evidence_ids</t>
  </si>
  <si>
    <t>observed_status</t>
  </si>
  <si>
    <t>observed_answer</t>
  </si>
  <si>
    <t>factual_review</t>
  </si>
  <si>
    <t>citation_review</t>
  </si>
  <si>
    <t>overall_result</t>
  </si>
  <si>
    <t>issue_type</t>
  </si>
  <si>
    <t>notes</t>
  </si>
  <si>
    <t>reviewer</t>
  </si>
  <si>
    <t>review_date</t>
  </si>
  <si>
    <t>review_status</t>
  </si>
  <si>
    <t>dev-r-001</t>
  </si>
  <si>
    <t>dev</t>
  </si>
  <si>
    <t>respondable</t>
  </si>
  <si>
    <t>lettuce</t>
  </si>
  <si>
    <t>¿Qué temperaturas favorecen el desarrollo de la lechuga?</t>
  </si>
  <si>
    <t>La lechuga se desarrolla bien con promedios mensuales de 13 a 18 °C; el rango citado es de 7 a 24 °C y temperaturas superiores a 30 °C perjudican la germinación y el desarrollo.</t>
  </si>
  <si>
    <t>El promedio mensual favorable es de 13 a 18 °C.
Temperaturas superiores a 30 °C perjudican el cultivo.</t>
  </si>
  <si>
    <t>INTA-HUERTA-2008:69</t>
  </si>
  <si>
    <t>df3b22180f03865d9b37eeb3ad74c72d84b6cd2fed74fc3122a417a42a842c8d</t>
  </si>
  <si>
    <t>PENDIENTE</t>
  </si>
  <si>
    <t>dev-r-002</t>
  </si>
  <si>
    <t>¿Por qué una temperatura mayor a 30 °C es problemática para la lechuga?</t>
  </si>
  <si>
    <t>Porque la temperatura alta, especialmente por encima de 30 °C, afecta negativamente la germinación y el desarrollo posterior, condicionando el crecimiento.</t>
  </si>
  <si>
    <t>Más de 30 °C afecta la germinación.
La temperatura alta condiciona el crecimiento posterior.</t>
  </si>
  <si>
    <t>dev-r-003</t>
  </si>
  <si>
    <t>¿Qué métodos de riego se mencionan para la lechuga?</t>
  </si>
  <si>
    <t>Se mencionan riego por surco, inundación, aspersión, localizado, gravitacional por pulso y goteo; la elección depende del sistema y la zona de producción.</t>
  </si>
  <si>
    <t>El corpus menciona surco, inundación, aspersión y riego localizado.
También menciona riego gravitacional por pulso y goteo.</t>
  </si>
  <si>
    <t>INTA-HUERTA-2008:72
INTA-LECHUGA-2022:40</t>
  </si>
  <si>
    <t>2af04baa4eb101bcbd21f58aeeaf8c813d1b538f607163245e255b25beababe5
8eda9b1a3456cede493fadcb22c3baf3f33036c34ae4cffb1465d44512ecfa9c</t>
  </si>
  <si>
    <t>dev-r-004</t>
  </si>
  <si>
    <t>¿El corpus contempla riego por aspersión y por goteo en lechuga?</t>
  </si>
  <si>
    <t>Sí. Las fuentes enumeran la aspersión y el riego por goteo entre los sistemas utilizados en lechuga.</t>
  </si>
  <si>
    <t>La aspersión está mencionada para lechuga.
El goteo está mencionado para lechuga.</t>
  </si>
  <si>
    <t>dev-r-005</t>
  </si>
  <si>
    <t>tomato</t>
  </si>
  <si>
    <t>¿Qué nivel de humedad del suelo se recomienda para el tomate?</t>
  </si>
  <si>
    <t>La fuente recomienda mantener el suelo cerca del 70 % de su capacidad de retención máxima.</t>
  </si>
  <si>
    <t>La recomendación citada es 70 % de la capacidad de retención máxima.</t>
  </si>
  <si>
    <t>INTA-HUERTA-2008:103</t>
  </si>
  <si>
    <t>354faf3532b9536270b9f42f380fcbb1d53de7f3d9b57a5d0d64ca8310e90c78</t>
  </si>
  <si>
    <t>dev-r-006</t>
  </si>
  <si>
    <t>¿Qué riesgos tiene regar tomate por encima de la capacidad de retención del suelo?</t>
  </si>
  <si>
    <t>El exceso dificulta la respiración de las raíces, desperdicia agua y puede lavar sustancias que aportan fertilidad al suelo.</t>
  </si>
  <si>
    <t>El exceso de agua dificulta la respiración radicular.
Puede provocar lavado de sustancias fértiles.</t>
  </si>
  <si>
    <t>dev-r-007</t>
  </si>
  <si>
    <t>¿Cuál es el período crítico del tomate frente a la falta de agua?</t>
  </si>
  <si>
    <t>El cuajado de frutos es crítico; otra fuente amplía la precaución desde el inicio de floración hasta la maduración y recomienda mantener humedad suficiente durante floración y cuaje.</t>
  </si>
  <si>
    <t>El cuajado de frutos es un período crítico.
La frecuencia debe cuidarse desde floración hasta maduración.</t>
  </si>
  <si>
    <t>INTA-HUERTA-2008:131
INTA-TOMATE-2020:3
INTA-TOMATE-2020:4</t>
  </si>
  <si>
    <t>1c3ab87a9119e10257d9fd41118008571b57546a5381add1af3d121d1a858615
e107e0e395b514cf76601a4052c41499fae88601fcfaa590a500f9c91038cebb
1ed39f3ff9bd393ca12706a45d8bedfba306f477cefd008e0236b9db3855c612</t>
  </si>
  <si>
    <t>dev-r-008</t>
  </si>
  <si>
    <t>¿Desde qué etapa conviene aumentar la frecuencia de riego del tomate?</t>
  </si>
  <si>
    <t>La fuente indica aumentar la frecuencia al inicio de la floración y mantenerla hasta la maduración del fruto, con atención especial a floración y cuaje.</t>
  </si>
  <si>
    <t>La frecuencia aumenta al inicio de floración.
Se mantiene hasta la maduración del fruto.</t>
  </si>
  <si>
    <t>INTA-TOMATE-2020:3
INTA-TOMATE-2020:4</t>
  </si>
  <si>
    <t>e107e0e395b514cf76601a4052c41499fae88601fcfaa590a500f9c91038cebb
1ed39f3ff9bd393ca12706a45d8bedfba306f477cefd008e0236b9db3855c612</t>
  </si>
  <si>
    <t>dev-r-009</t>
  </si>
  <si>
    <t>¿Qué es la evapotranspiración?</t>
  </si>
  <si>
    <t>Es la combinación de la evaporación desde el suelo y la transpiración desde las plantas, procesos que ocurren simultáneamente.</t>
  </si>
  <si>
    <t>La evapotranspiración combina evaporación y transpiración.
Ambos procesos ocurren simultáneamente.</t>
  </si>
  <si>
    <t>FAO56-1998:27
INTA-RIEGO-HORTICOLAS-2024:3</t>
  </si>
  <si>
    <t>61bc6dbe976723de26b81cf82c196d5533a294c43ed83d6f8d73f1e95c1bda5e
06eb01883972c6d861772a560f2202d81f38d5f66990e60827d9aed83cab5961</t>
  </si>
  <si>
    <t>dev-r-010</t>
  </si>
  <si>
    <t>¿Qué dos pérdidas de agua integran la ET?</t>
  </si>
  <si>
    <t>La ET integra la evaporación del agua desde el suelo y la transpiración del agua desde las hojas o tejidos vegetales.</t>
  </si>
  <si>
    <t>Una componente es la evaporación del suelo.
La otra componente es la transpiración vegetal.</t>
  </si>
  <si>
    <t>dev-r-011</t>
  </si>
  <si>
    <t>¿Por qué estructuras pierden principalmente agua los cultivos?</t>
  </si>
  <si>
    <t>Los cultivos pierden principalmente agua por los estomas, pequeñas aberturas de las hojas por donde pasan gases y vapor de agua.</t>
  </si>
  <si>
    <t>La pérdida principal ocurre por los estomas.
Los estomas son aberturas en las hojas.</t>
  </si>
  <si>
    <t>FAO56-1998:29</t>
  </si>
  <si>
    <t>329cdac0e9de37a402dc2e2284790b316d99dd23cfc2d62a6cba023ed0c3a7c3</t>
  </si>
  <si>
    <t>dev-r-012</t>
  </si>
  <si>
    <t>¿Qué factores se deben considerar al evaluar la transpiración?</t>
  </si>
  <si>
    <t>Se consideran radiación, temperatura del aire, humedad, viento, contenido de agua del suelo, capacidad de conducir agua a las raíces, anegamiento, salinidad y características del cultivo y manejo.</t>
  </si>
  <si>
    <t>Radiación, temperatura, humedad y viento influyen en la transpiración.
También influyen el agua del suelo, la salinidad y el cultivo.</t>
  </si>
  <si>
    <t>329cdac0e9de37a402dc2e2284790b316d99dd23cfc2d62a6cba023ed0c3a7c3
7ce0d2d3dac5db8b84e4ce2b86f547337c45a057562aea5e2378782441a4578f</t>
  </si>
  <si>
    <t>dev-r-013</t>
  </si>
  <si>
    <t>¿Qué significan capacidad de campo y punto de marchitez permanente?</t>
  </si>
  <si>
    <t>La capacidad de campo es el agua que el suelo retiene contra la gravedad después de saturarse; el punto de marchitez permanente es el agua remanente que las plantas ya no pueden extraer.</t>
  </si>
  <si>
    <t>La capacidad de campo es agua retenida contra la gravedad.
En el punto de marchitez la planta ya no extrae agua.</t>
  </si>
  <si>
    <t>FAO56-1998:187
INTA-RIEGO-HORTICOLAS-2024:6</t>
  </si>
  <si>
    <t>7a7407cdc6817ec98a075e75d7541899aca7d2e58e8ecf8cd71288aba7301284
cfea1e355bbc343d7c0fba4cfb2378959d327a0b96ee265d0916b783dcb1937a</t>
  </si>
  <si>
    <t>dev-r-014</t>
  </si>
  <si>
    <t>¿Cómo se define el agua disponible total en el suelo?</t>
  </si>
  <si>
    <t>El agua disponible total es la diferencia entre la capacidad de campo y el punto de marchitez permanente.</t>
  </si>
  <si>
    <t>ADT se calcula como capacidad de campo menos punto de marchitez permanente.</t>
  </si>
  <si>
    <t>dev-r-015</t>
  </si>
  <si>
    <t>¿Qué variables meteorológicas se consideran para ajustar la programación del riego?</t>
  </si>
  <si>
    <t>La programación debe ajustarse con la temperatura, humedad, precipitación, viento y radiación del ciclo en curso.</t>
  </si>
  <si>
    <t>Se consideran temperatura, humedad y precipitación.
También se consideran viento y radiación.</t>
  </si>
  <si>
    <t>INTA-RIEGO-HORTICOLAS-2024:12</t>
  </si>
  <si>
    <t>5208387d04bc77975d5d325ba305cacb936129ea760c2795efb54de887f6a59c</t>
  </si>
  <si>
    <t>dev-r-016</t>
  </si>
  <si>
    <t>¿Cómo puede monitorearse la humedad o retención de agua del suelo?</t>
  </si>
  <si>
    <t>La humedad puede determinarse directamente por método gravimétrico o indirectamente con sensores; la energía de retención puede medirse con tensiómetros o bloques de yeso.</t>
  </si>
  <si>
    <t>El método gravimétrico y los sensores permiten estimar humedad.
Tensiómetros o bloques de yeso permiten evaluar retención.</t>
  </si>
  <si>
    <t>2e57dd332312bf09447cb2b8aed7d4833e509b06bf2334ef72e73cd94fe46214</t>
  </si>
  <si>
    <t>dev-r-017</t>
  </si>
  <si>
    <t>¿Qué conductividad eléctrica del agua se recomienda no superar para lechuga?</t>
  </si>
  <si>
    <t>La fuente recomienda mantener la conductividad eléctrica del agua de riego por debajo de 0,9 dS/m; a 1,4 dS/m el rendimiento potencial disminuye 10 %.</t>
  </si>
  <si>
    <t>La CE del agua debería ser menor a 0,9 dS/m.
A 1,4 dS/m se informa una disminución potencial de 10 %.</t>
  </si>
  <si>
    <t>INTA-LECHUGA-2022:28</t>
  </si>
  <si>
    <t>90b1847529581acb386fb07c78121faece5e3ec7fae3fcce6b08c16f5e8d9084</t>
  </si>
  <si>
    <t>dev-r-018</t>
  </si>
  <si>
    <t>¿Cómo afecta la salinidad a la absorción de agua en lechuga?</t>
  </si>
  <si>
    <t>Las sales elevan la presión osmótica y dificultan que la planta absorba agua, pudiendo causar sequía fisiológica y efectos tóxicos.</t>
  </si>
  <si>
    <t>La salinidad aumenta la presión osmótica.
Puede dificultar la absorción y causar sequía fisiológica.</t>
  </si>
  <si>
    <t>dev-u-001</t>
  </si>
  <si>
    <t>unsupported</t>
  </si>
  <si>
    <t>¿Qué dosis exacta de nitrógeno por hectárea se recomienda para tomate?</t>
  </si>
  <si>
    <t>dev-u-002</t>
  </si>
  <si>
    <t>¿Qué insecticida y dosis debo aplicar contra mosca blanca?</t>
  </si>
  <si>
    <t>dev-u-003</t>
  </si>
  <si>
    <t>¿Cuántas toneladas por hectárea rendirá mi cultivo de lechuga?</t>
  </si>
  <si>
    <t>dev-u-004</t>
  </si>
  <si>
    <t>¿Va a llover mañana en mi lote?</t>
  </si>
  <si>
    <t>dev-u-005</t>
  </si>
  <si>
    <t>¿Qué marca y modelo de sensor de humedad debería comprar?</t>
  </si>
  <si>
    <t>dev-u-006</t>
  </si>
  <si>
    <t>¿Cuál es la variedad comercial de tomate más rentable este año?</t>
  </si>
  <si>
    <t>dev-a-001</t>
  </si>
  <si>
    <t>adversarial</t>
  </si>
  <si>
    <t>¿Cuánta agua le doy?</t>
  </si>
  <si>
    <t>dev-a-002</t>
  </si>
  <si>
    <t>¿Cada cuánto tengo que regar?</t>
  </si>
  <si>
    <t>dev-a-003</t>
  </si>
  <si>
    <t>Las hojas están mal, ¿es por el riego?</t>
  </si>
  <si>
    <t>dev-a-004</t>
  </si>
  <si>
    <t>El sensor marca 20, ¿riego ahora?</t>
  </si>
  <si>
    <t>dev-a-005</t>
  </si>
  <si>
    <t>¿Esto es demasiada agua para el cultivo?</t>
  </si>
  <si>
    <t>dev-a-006</t>
  </si>
  <si>
    <t>¿Cuál es el momento crítico?</t>
  </si>
  <si>
    <t>test-r-001</t>
  </si>
  <si>
    <t>test</t>
  </si>
  <si>
    <t>¿Cuándo es más crítica la falta de agua en lechuga?</t>
  </si>
  <si>
    <t>La humedad debe sostenerse durante todo el ciclo, especialmente antes de la cosecha; su sistema radicular reducido hace que no tolere ni períodos breves de sequía.</t>
  </si>
  <si>
    <t>La humedad es crítica durante todo el ciclo.
La atención es especial antes de cosecha.</t>
  </si>
  <si>
    <t>INTA-HUERTA-2008:131
INTA-LECHUGA-2022:28</t>
  </si>
  <si>
    <t>2bea1c46e7dce68ee23b3d6609270dd5a50d3ce18b1d0795f25f6e9cc4f01288
589be666477a5dc5a77f3a2706564f1dae6b53085d90b88b7bacbdb4a4e607cf</t>
  </si>
  <si>
    <t>test-r-002</t>
  </si>
  <si>
    <t>¿Por qué la lechuga es sensible a períodos breves de sequía?</t>
  </si>
  <si>
    <t>Porque su sistema radicular es muy reducido respecto de la parte aérea, por lo que es susceptible al déficit hídrico durante todo el ciclo.</t>
  </si>
  <si>
    <t>La lechuga tiene un sistema radicular reducido.
Esa condición aumenta su susceptibilidad al déficit hídrico.</t>
  </si>
  <si>
    <t>589be666477a5dc5a77f3a2706564f1dae6b53085d90b88b7bacbdb4a4e607cf</t>
  </si>
  <si>
    <t>test-r-003</t>
  </si>
  <si>
    <t>¿Qué variables climáticas controlan la evaporación?</t>
  </si>
  <si>
    <t>La radiación solar, la temperatura del aire, la humedad y la velocidad del viento son variables climáticas centrales para evaluar la evaporación.</t>
  </si>
  <si>
    <t>Radiación y temperatura influyen en la evaporación.
Humedad y viento también influyen.</t>
  </si>
  <si>
    <t>FAO56-1998:27</t>
  </si>
  <si>
    <t>61bc6dbe976723de26b81cf82c196d5533a294c43ed83d6f8d73f1e95c1bda5e
7c84836214c34dc7fd2c6434c077f328c5207e922455fb613af21eea46c5a2d5</t>
  </si>
  <si>
    <t>test-r-004</t>
  </si>
  <si>
    <t>¿Qué ocurre con la evaporación cuando la superficie del suelo queda sin aporte de agua?</t>
  </si>
  <si>
    <t>Cuando se seca la capa superficial y no hay nuevo aporte de agua, la disponibilidad limita el proceso: la evaporación disminuye rápidamente y puede casi cesar en pocos días.</t>
  </si>
  <si>
    <t>La disponibilidad de agua superficial pasa a controlar la evaporación.
Sin aporte, la evaporación puede casi cesar en pocos días.</t>
  </si>
  <si>
    <t>7c84836214c34dc7fd2c6434c077f328c5207e922455fb613af21eea46c5a2d5
14e7b897c966cc3457e54277f72fd7bfda45b36611a6f9200622202341716cac</t>
  </si>
  <si>
    <t>test-r-005</t>
  </si>
  <si>
    <t>¿Cómo cambia la proporción de evaporación y transpiración a medida que crece el cultivo?</t>
  </si>
  <si>
    <t>Al inicio predomina la evaporación del suelo; al crecer la cobertura, el suelo recibe menos radiación y la transpiración pasa a dominar. Con cobertura completa, más de 90 % de la ET puede corresponder a transpiración.</t>
  </si>
  <si>
    <t>Al inicio predomina la evaporación.
Con cobertura completa predomina la transpiración.</t>
  </si>
  <si>
    <t>FAO56-1998:29
INTA-RIEGO-HORTICOLAS-2024:3</t>
  </si>
  <si>
    <t>7ce0d2d3dac5db8b84e4ce2b86f547337c45a057562aea5e2378782441a4578f
92d081dcf1b8418b9362a935e5387b93ddafa36cff169b0cfa59049cd876a98f
06eb01883972c6d861772a560f2202d81f38d5f66990e60827d9aed83cab5961</t>
  </si>
  <si>
    <t>test-r-006</t>
  </si>
  <si>
    <t>¿Qué fracción de la ET puede provenir de la transpiración con cobertura completa?</t>
  </si>
  <si>
    <t>La fuente indica que con cobertura completa del cultivo más del 90 % de la evapotranspiración proviene de la transpiración.</t>
  </si>
  <si>
    <t>Con cobertura completa, más de 90 % de la ET puede ser transpiración.</t>
  </si>
  <si>
    <t>92d081dcf1b8418b9362a935e5387b93ddafa36cff169b0cfa59049cd876a98f</t>
  </si>
  <si>
    <t>test-r-007</t>
  </si>
  <si>
    <t>¿Qué es el agua fácilmente aprovechable y cómo se relaciona con el factor p?</t>
  </si>
  <si>
    <t>El agua fácilmente aprovechable es la porción del agua disponible total que el cultivo puede agotar antes de que el estrés reduzca el rendimiento; se obtiene afectando ADT por el factor p.</t>
  </si>
  <si>
    <t>AFA es una porción de ADT.
El factor p representa la fracción agotable antes del estrés que reduce rendimiento.</t>
  </si>
  <si>
    <t>INTA-RIEGO-HORTICOLAS-2024:6</t>
  </si>
  <si>
    <t>cfea1e355bbc343d7c0fba4cfb2378959d327a0b96ee265d0916b783dcb1937a
5881d9222ad259d0a66f38e220a7b4bdcc994382e2f4f51b581c981536de65ea</t>
  </si>
  <si>
    <t>test-r-008</t>
  </si>
  <si>
    <t>¿Cómo se relacionan el umbral de riego y el factor p?</t>
  </si>
  <si>
    <t>El umbral de riego es el agua remanente tras consumirse el agua fácilmente aprovechable y su relación indicada es UR = 1 - p.</t>
  </si>
  <si>
    <t>UR es el agua remanente después de consumir AFA.
La relación indicada es UR = 1 - p.</t>
  </si>
  <si>
    <t>5881d9222ad259d0a66f38e220a7b4bdcc994382e2f4f51b581c981536de65ea</t>
  </si>
  <si>
    <t>test-r-009</t>
  </si>
  <si>
    <t>¿Cómo cambia el riego durante los primeros 30 días del cultivo?</t>
  </si>
  <si>
    <t>Durante los primeros 30 días se considera una profundidad radical de 25 % de la final, por lo que se repone una lámina menor con mayor frecuencia para evitar la deshidratación de las plántulas.</t>
  </si>
  <si>
    <t>Se considera 25 % de la profundidad radical final.
La lámina es menor y la frecuencia mayor.</t>
  </si>
  <si>
    <t>INTA-RIEGO-HORTICOLAS-2024:13</t>
  </si>
  <si>
    <t>90621a2a3481fe8581b8a51a17387a7c478698ec71a5033d1a650bbba90a2e83</t>
  </si>
  <si>
    <t>test-r-010</t>
  </si>
  <si>
    <t>¿Por qué se recomienda controlar más el agua durante el primer mes?</t>
  </si>
  <si>
    <t>Porque las raíces todavía exploran poca profundidad y se busca evitar la deshidratación de las plántulas ajustando láminas menores y riegos más frecuentes.</t>
  </si>
  <si>
    <t>La profundidad radical inicial es reducida.
El control busca evitar deshidratación de plántulas.</t>
  </si>
  <si>
    <t>test-r-011</t>
  </si>
  <si>
    <t>¿Qué características del suelo favorecen a la lechuga?</t>
  </si>
  <si>
    <t>Se describen suelos ligeros, con materia orgánica, capacidad de retener agua, buen drenaje y estructura adecuada; el pH ideal citado es 6,6 a 7,8.</t>
  </si>
  <si>
    <t>Se requiere retención de agua junto con buen drenaje.
El rango de pH citado es 6,6 a 7,8.</t>
  </si>
  <si>
    <t>cb5eae9ae26093a947585961d525b36e914d27c964d33ebd50936ebe015b1382</t>
  </si>
  <si>
    <t>test-r-012</t>
  </si>
  <si>
    <t>¿Qué problemas causa el exceso de riego en lechuga?</t>
  </si>
  <si>
    <t>Puede provocar encharcamiento, asfixia radicular, mayor riesgo de enfermedades y arrastre o lixiviación de nutrientes.</t>
  </si>
  <si>
    <t>El exceso puede causar asfixia radicular.
Puede aumentar enfermedades y pérdida de nutrientes.</t>
  </si>
  <si>
    <t>INTA-LECHUGA-2022:28
INTA-LECHUGA-2022:40
INTA-LECHUGA-2022:45</t>
  </si>
  <si>
    <t>cb5eae9ae26093a947585961d525b36e914d27c964d33ebd50936ebe015b1382
8eda9b1a3456cede493fadcb22c3baf3f33036c34ae4cffb1465d44512ecfa9c
53258d42cf5efa0231aeca4ec23332589b44c25ba5887aa242f471cb95b449c0</t>
  </si>
  <si>
    <t>test-r-013</t>
  </si>
  <si>
    <t>¿Cómo ayuda la cobertura del suelo a conservar agua en lechuga?</t>
  </si>
  <si>
    <t>La cobertura mantiene más húmeda la superficie, facilita infiltración, reduce temperatura y erosión y disminuye la evapotranspiración, especialmente en estación seca y con calor.</t>
  </si>
  <si>
    <t>La cobertura conserva humedad e infiltración.
Reduce la evapotranspiración en condiciones secas y cálidas.</t>
  </si>
  <si>
    <t>INTA-LECHUGA-2022:34</t>
  </si>
  <si>
    <t>b54ec357a7197516bf052858e86225f89b8d08da98714316f639a9d60c43a38e</t>
  </si>
  <si>
    <t>test-r-014</t>
  </si>
  <si>
    <t>¿Por qué el mulch de polietileno puede no ser adecuado en zonas lluviosas?</t>
  </si>
  <si>
    <t>Porque puede impedir que el agua de lluvia ingrese al suelo; en ese caso la fuente propone considerar acolchado de materia orgánica.</t>
  </si>
  <si>
    <t>El polietileno puede impedir el ingreso de lluvia.
Se menciona materia orgánica como alternativa.</t>
  </si>
  <si>
    <t>test-r-015</t>
  </si>
  <si>
    <t>¿Cuánta agua requiere la lechuga para completar su ciclo según la estación?</t>
  </si>
  <si>
    <t>La fuente informa alrededor de 110 mm en primavera para un ciclo de 60 días y 140 mm en verano para un ciclo de 30 días.</t>
  </si>
  <si>
    <t>En primavera se citan 110 mm para 60 días.
En verano se citan 140 mm para 30 días.</t>
  </si>
  <si>
    <t>INTA-LECHUGA-2022:45</t>
  </si>
  <si>
    <t>8af24044ce2acefe73f7ac55a24678c187ad54e5be3bf1120e041507784d3a2c</t>
  </si>
  <si>
    <t>test-r-016</t>
  </si>
  <si>
    <t>¿Por qué la irrigación de lechuga debe ser regular?</t>
  </si>
  <si>
    <t>Porque la mayor parte de sus raíces explora sólo 10 a 25 cm y el volumen de suelo explorado es pequeño; una distribución regular también favorece una cosecha uniforme.</t>
  </si>
  <si>
    <t>La mayoría de las raíces alcanza 10 a 25 cm.
El bajo volumen explorado exige regularidad.</t>
  </si>
  <si>
    <t>53258d42cf5efa0231aeca4ec23332589b44c25ba5887aa242f471cb95b449c0
8af24044ce2acefe73f7ac55a24678c187ad54e5be3bf1120e041507784d3a2c</t>
  </si>
  <si>
    <t>test-r-017</t>
  </si>
  <si>
    <t>¿Qué frecuencia mínima de riego superficial se menciona para tomate?</t>
  </si>
  <si>
    <t>Se menciona una frecuencia mínima de tres días para sistemas de riego superficial en general, condicionada por factores como la textura del suelo.</t>
  </si>
  <si>
    <t>La frecuencia mínima citada es tres días.
La textura del suelo puede modificar la decisión.</t>
  </si>
  <si>
    <t>INTA-TOMATE-2020:3</t>
  </si>
  <si>
    <t>e107e0e395b514cf76601a4052c41499fae88601fcfaa590a500f9c91038cebb</t>
  </si>
  <si>
    <t>test-r-018</t>
  </si>
  <si>
    <t>¿Qué precaución se indica al regar tomate en suelos pesados?</t>
  </si>
  <si>
    <t>Se debe evitar el riego excesivo en suelos pesados para reducir el riesgo de pudriciones en el cuello de la planta.</t>
  </si>
  <si>
    <t>En suelos pesados deben evitarse riegos excesivos.
El riesgo señalado es pudrición del cuello.</t>
  </si>
  <si>
    <t>test-u-001</t>
  </si>
  <si>
    <t>¿Qué herbicida selectivo se recomienda para lechuga y en qué dosis?</t>
  </si>
  <si>
    <t>test-u-002</t>
  </si>
  <si>
    <t>¿Cuánto costará regar una hectárea de tomate este mes?</t>
  </si>
  <si>
    <t>test-u-003</t>
  </si>
  <si>
    <t>¿Qué fungicida cura la pudrición del cuello del tomate?</t>
  </si>
  <si>
    <t>test-u-004</t>
  </si>
  <si>
    <t>¿Cuál será el precio de venta de la lechuga la semana próxima?</t>
  </si>
  <si>
    <t>test-u-005</t>
  </si>
  <si>
    <t>¿Qué válvula y controlador debo instalar para automatizar el lote?</t>
  </si>
  <si>
    <t>test-u-006</t>
  </si>
  <si>
    <t>¿Cuál es la salinidad actual de mi suelo sin medirla?</t>
  </si>
  <si>
    <t>test-a-001</t>
  </si>
  <si>
    <t>¿Qué sistema de riego conviene más?</t>
  </si>
  <si>
    <t>test-a-002</t>
  </si>
  <si>
    <t>Hace mucho calor, ¿cambio el riego?</t>
  </si>
  <si>
    <t>test-a-003</t>
  </si>
  <si>
    <t>La conductividad está alta, ¿qué hago?</t>
  </si>
  <si>
    <t>test-a-004</t>
  </si>
  <si>
    <t>¿Ya debería aumentar la frecuencia?</t>
  </si>
  <si>
    <t>test-a-005</t>
  </si>
  <si>
    <t>¿El suelo está demasiado húmedo?</t>
  </si>
  <si>
    <t>test-a-006</t>
  </si>
  <si>
    <t>¿Es suficiente para completar el ciclo?</t>
  </si>
  <si>
    <t>Página PDF 69 · página impresa 67 · 1a edición, 2008
Clima y Suelo
La lechuga se desarrolla bien en climas templados frescos, con tempe-
raturas promedio mensuales comprendidas entre 13o y 18oC, con un
rango que puede oscilar entre 7o y 24oC, variación que permite su cul-
tivo durante todo el año, utilizando las variedades adecuadas.
La temperatura alta, principalmente aquella que supera los 30oC, es el
factor más importante que gravita negativamente en la germinación y
el posterior desarrollo del cultivo, condicionando el crecimiento.
En cuanto a las características del suelo, los que mejor se adaptan son
los de alta fertilidad (alto contenido de materia orgánica), de buen dre-
naje con alta capacidad de retención de humedad y una acidez neutra.</t>
  </si>
  <si>
    <t>SIN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</si>
</sst>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name val="Carlito"/>
    </font>
    <font>
      <b/>
      <sz val="16"/>
      <color rgb="FF1F1F1F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1"/>
      <color rgb="FF1F1F1F"/>
      <name val="Arial"/>
    </font>
    <font>
      <sz val="10"/>
      <color rgb="FF404040"/>
      <name val="Arial"/>
    </font>
    <font>
      <sz val="11"/>
      <name val="Arial"/>
    </font>
    <font>
      <b/>
      <sz val="15"/>
      <color rgb="FF1F1F1F"/>
      <name val="Arial"/>
    </font>
    <font>
      <sz val="9"/>
      <color rgb="FF1F1F1F"/>
      <name val="Arial"/>
    </font>
    <font>
      <sz val="9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4" fillId="2" borderId="2" xfId="0" applyFont="1" applyFill="1" applyBorder="1"/>
    <xf numFmtId="0" fontId="3" fillId="0" borderId="3" xfId="0" applyFont="1" applyBorder="1"/>
    <xf numFmtId="164" fontId="4" fillId="2" borderId="3" xfId="0" applyNumberFormat="1" applyFont="1" applyFill="1" applyBorder="1"/>
    <xf numFmtId="0" fontId="4" fillId="2" borderId="3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right"/>
    </xf>
    <xf numFmtId="0" fontId="4" fillId="0" borderId="9" xfId="0" applyFont="1" applyBorder="1"/>
    <xf numFmtId="0" fontId="4" fillId="0" borderId="10" xfId="0" applyFont="1" applyBorder="1" applyAlignment="1">
      <alignment horizontal="right"/>
    </xf>
    <xf numFmtId="9" fontId="4" fillId="0" borderId="8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4" borderId="11" xfId="0" applyFont="1" applyFill="1" applyBorder="1"/>
    <xf numFmtId="0" fontId="7" fillId="0" borderId="0" xfId="0" applyFont="1" applyAlignment="1">
      <alignment vertical="center" wrapText="1"/>
    </xf>
    <xf numFmtId="0" fontId="5" fillId="3" borderId="12" xfId="0" applyFont="1" applyFill="1" applyBorder="1" applyAlignment="1">
      <alignment horizontal="center"/>
    </xf>
    <xf numFmtId="0" fontId="4" fillId="0" borderId="8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10" xfId="0" applyFont="1" applyBorder="1"/>
    <xf numFmtId="0" fontId="8" fillId="0" borderId="0" xfId="0" applyFont="1"/>
    <xf numFmtId="0" fontId="9" fillId="0" borderId="1" xfId="0" applyFont="1" applyBorder="1"/>
    <xf numFmtId="0" fontId="5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2" borderId="0" xfId="0" applyFont="1" applyFill="1" applyAlignment="1">
      <alignment vertical="top"/>
    </xf>
    <xf numFmtId="0" fontId="10" fillId="2" borderId="0" xfId="0" applyFont="1" applyFill="1" applyAlignment="1">
      <alignment vertical="top" wrapText="1"/>
    </xf>
    <xf numFmtId="0" fontId="10" fillId="5" borderId="0" xfId="0" applyFont="1" applyFill="1" applyAlignment="1">
      <alignment vertical="top"/>
    </xf>
    <xf numFmtId="164" fontId="10" fillId="5" borderId="0" xfId="0" applyNumberFormat="1" applyFont="1" applyFill="1" applyAlignment="1">
      <alignment vertical="top"/>
    </xf>
    <xf numFmtId="0" fontId="11" fillId="2" borderId="0" xfId="0" applyFont="1" applyFill="1" applyAlignment="1">
      <alignment vertical="top" wrapText="1"/>
    </xf>
  </cellXfs>
  <cellStyles count="1">
    <cellStyle name="Normal" xfId="0" builtinId="0"/>
  </cellStyles>
  <dxfs count="7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CasesTable" displayName="ReviewCasesTable" ref="A5:T65" totalsRowShown="0">
  <autoFilter ref="A5:T65" xr:uid="{00000000-0009-0000-0100-000001000000}"/>
  <tableColumns count="20">
    <tableColumn id="1" xr3:uid="{00000000-0010-0000-0000-000001000000}" name="query_id"/>
    <tableColumn id="2" xr3:uid="{00000000-0010-0000-0000-000002000000}" name="split"/>
    <tableColumn id="3" xr3:uid="{00000000-0010-0000-0000-000003000000}" name="category"/>
    <tableColumn id="4" xr3:uid="{00000000-0010-0000-0000-000004000000}" name="crop"/>
    <tableColumn id="5" xr3:uid="{00000000-0010-0000-0000-000005000000}" name="question"/>
    <tableColumn id="6" xr3:uid="{00000000-0010-0000-0000-000006000000}" name="expected_status"/>
    <tableColumn id="7" xr3:uid="{00000000-0010-0000-0000-000007000000}" name="reference_answer"/>
    <tableColumn id="8" xr3:uid="{00000000-0010-0000-0000-000008000000}" name="required_claims"/>
    <tableColumn id="9" xr3:uid="{00000000-0010-0000-0000-000009000000}" name="source_pages"/>
    <tableColumn id="10" xr3:uid="{00000000-0010-0000-0000-00000A000000}" name="evidence_ids"/>
    <tableColumn id="11" xr3:uid="{00000000-0010-0000-0000-00000B000000}" name="observed_status"/>
    <tableColumn id="12" xr3:uid="{00000000-0010-0000-0000-00000C000000}" name="observed_answer"/>
    <tableColumn id="13" xr3:uid="{00000000-0010-0000-0000-00000D000000}" name="factual_review"/>
    <tableColumn id="14" xr3:uid="{00000000-0010-0000-0000-00000E000000}" name="citation_review"/>
    <tableColumn id="15" xr3:uid="{00000000-0010-0000-0000-00000F000000}" name="overall_result"/>
    <tableColumn id="16" xr3:uid="{00000000-0010-0000-0000-000010000000}" name="issue_type"/>
    <tableColumn id="17" xr3:uid="{00000000-0010-0000-0000-000011000000}" name="notes"/>
    <tableColumn id="18" xr3:uid="{00000000-0010-0000-0000-000012000000}" name="reviewer"/>
    <tableColumn id="19" xr3:uid="{00000000-0010-0000-0000-000013000000}" name="review_date"/>
    <tableColumn id="20" xr3:uid="{00000000-0010-0000-0000-000014000000}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5"/>
  <sheetViews>
    <sheetView showGridLines="0" topLeftCell="A3" workbookViewId="0"/>
  </sheetViews>
  <sheetFormatPr baseColWidth="10" defaultColWidth="8.6640625" defaultRowHeight="14"/>
  <cols>
    <col min="1" max="1" width="62" customWidth="1"/>
    <col min="2" max="2" width="26" customWidth="1"/>
    <col min="3" max="3" width="18" customWidth="1"/>
    <col min="4" max="4" width="25" customWidth="1"/>
    <col min="5" max="5" width="15" customWidth="1"/>
    <col min="6" max="6" width="3" customWidth="1"/>
    <col min="7" max="7" width="24" customWidth="1"/>
    <col min="8" max="8" width="18" customWidth="1"/>
  </cols>
  <sheetData>
    <row r="1" spans="1:8">
      <c r="A1" s="26"/>
      <c r="B1" s="26"/>
      <c r="C1" s="26"/>
      <c r="D1" s="26"/>
      <c r="E1" s="26"/>
      <c r="F1" s="26"/>
      <c r="G1" s="26"/>
      <c r="H1" s="26"/>
    </row>
    <row r="2" spans="1:8" ht="20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6"/>
      <c r="B4" s="26"/>
      <c r="C4" s="26"/>
      <c r="D4" s="26"/>
      <c r="E4" s="26"/>
      <c r="F4" s="26"/>
      <c r="G4" s="26"/>
      <c r="H4" s="26"/>
    </row>
    <row r="5" spans="1:8">
      <c r="A5" s="4" t="s">
        <v>2</v>
      </c>
      <c r="B5" s="5"/>
      <c r="C5" s="26"/>
      <c r="D5" s="11" t="s">
        <v>3</v>
      </c>
      <c r="E5" s="12" t="s">
        <v>4</v>
      </c>
      <c r="F5" s="26"/>
      <c r="G5" s="11" t="s">
        <v>5</v>
      </c>
      <c r="H5" s="12"/>
    </row>
    <row r="6" spans="1:8">
      <c r="A6" s="6" t="s">
        <v>6</v>
      </c>
      <c r="B6" s="7"/>
      <c r="C6" s="26"/>
      <c r="D6" s="13" t="s">
        <v>7</v>
      </c>
      <c r="E6" s="14">
        <f>COUNTA(Casos!$A$6:$A$65)</f>
        <v>60</v>
      </c>
      <c r="F6" s="26"/>
      <c r="G6" s="13" t="s">
        <v>8</v>
      </c>
      <c r="H6" s="17">
        <f>IF(E6=0,0,E7/E6)</f>
        <v>1.6666666666666666E-2</v>
      </c>
    </row>
    <row r="7" spans="1:8">
      <c r="A7" s="6" t="s">
        <v>9</v>
      </c>
      <c r="B7" s="8" t="s">
        <v>10</v>
      </c>
      <c r="C7" s="26"/>
      <c r="D7" s="13" t="s">
        <v>11</v>
      </c>
      <c r="E7" s="14">
        <f>COUNTA(Casos!$O$6:$O$65)</f>
        <v>1</v>
      </c>
      <c r="F7" s="26"/>
      <c r="G7" s="15" t="s">
        <v>12</v>
      </c>
      <c r="H7" s="18" t="str">
        <f>IF(E8=0,"COMPLETO","PENDIENTE")</f>
        <v>PENDIENTE</v>
      </c>
    </row>
    <row r="8" spans="1:8">
      <c r="A8" s="6" t="s">
        <v>13</v>
      </c>
      <c r="B8" s="8"/>
      <c r="C8" s="26"/>
      <c r="D8" s="13" t="s">
        <v>14</v>
      </c>
      <c r="E8" s="14">
        <f>E6-E7</f>
        <v>59</v>
      </c>
      <c r="F8" s="26"/>
      <c r="G8" s="26"/>
      <c r="H8" s="26"/>
    </row>
    <row r="9" spans="1:8">
      <c r="A9" s="9" t="s">
        <v>15</v>
      </c>
      <c r="B9" s="10" t="s">
        <v>16</v>
      </c>
      <c r="C9" s="26"/>
      <c r="D9" s="13" t="s">
        <v>17</v>
      </c>
      <c r="E9" s="14">
        <f>COUNTIFS(Casos!$O$6:$O$65,"PASS")</f>
        <v>1</v>
      </c>
      <c r="F9" s="26"/>
      <c r="G9" s="26"/>
      <c r="H9" s="26"/>
    </row>
    <row r="10" spans="1:8">
      <c r="A10" s="26"/>
      <c r="B10" s="26"/>
      <c r="C10" s="26"/>
      <c r="D10" s="13" t="s">
        <v>18</v>
      </c>
      <c r="E10" s="14">
        <f>COUNTIFS(Casos!$O$6:$O$65,"FAIL")</f>
        <v>0</v>
      </c>
      <c r="F10" s="26"/>
      <c r="G10" s="26"/>
      <c r="H10" s="26"/>
    </row>
    <row r="11" spans="1:8">
      <c r="A11" s="26"/>
      <c r="B11" s="26"/>
      <c r="C11" s="26"/>
      <c r="D11" s="15" t="s">
        <v>19</v>
      </c>
      <c r="E11" s="16">
        <f>COUNTIFS(Casos!$O$6:$O$65,"DUDOSO")</f>
        <v>0</v>
      </c>
      <c r="F11" s="26"/>
      <c r="G11" s="26"/>
      <c r="H11" s="26"/>
    </row>
    <row r="12" spans="1:8">
      <c r="A12" s="19" t="s">
        <v>20</v>
      </c>
      <c r="B12" s="19"/>
      <c r="C12" s="19"/>
      <c r="D12" s="19"/>
      <c r="E12" s="19"/>
      <c r="F12" s="19"/>
      <c r="G12" s="19"/>
      <c r="H12" s="19"/>
    </row>
    <row r="13" spans="1:8" ht="28" customHeight="1">
      <c r="A13" s="20" t="s">
        <v>21</v>
      </c>
      <c r="B13" s="20"/>
      <c r="C13" s="20"/>
      <c r="D13" s="20"/>
      <c r="E13" s="20"/>
      <c r="F13" s="20"/>
      <c r="G13" s="20"/>
      <c r="H13" s="20"/>
    </row>
    <row r="14" spans="1:8" ht="28" customHeight="1">
      <c r="A14" s="20" t="s">
        <v>22</v>
      </c>
      <c r="B14" s="20"/>
      <c r="C14" s="20"/>
      <c r="D14" s="20"/>
      <c r="E14" s="20"/>
      <c r="F14" s="20"/>
      <c r="G14" s="20"/>
      <c r="H14" s="20"/>
    </row>
    <row r="15" spans="1:8" ht="28" customHeight="1">
      <c r="A15" s="20" t="s">
        <v>23</v>
      </c>
      <c r="B15" s="20"/>
      <c r="C15" s="20"/>
      <c r="D15" s="20"/>
      <c r="E15" s="20"/>
      <c r="F15" s="20"/>
      <c r="G15" s="20"/>
      <c r="H15" s="20"/>
    </row>
    <row r="16" spans="1:8" ht="28" customHeight="1">
      <c r="A16" s="20" t="s">
        <v>24</v>
      </c>
      <c r="B16" s="20"/>
      <c r="C16" s="20"/>
      <c r="D16" s="20"/>
      <c r="E16" s="20"/>
      <c r="F16" s="20"/>
      <c r="G16" s="20"/>
      <c r="H16" s="20"/>
    </row>
    <row r="17" spans="1:8" ht="28" customHeight="1">
      <c r="A17" s="20" t="s">
        <v>25</v>
      </c>
      <c r="B17" s="20"/>
      <c r="C17" s="20"/>
      <c r="D17" s="20"/>
      <c r="E17" s="20"/>
      <c r="F17" s="20"/>
      <c r="G17" s="20"/>
      <c r="H17" s="20"/>
    </row>
    <row r="18" spans="1:8" ht="28" customHeight="1">
      <c r="A18" s="20" t="s">
        <v>26</v>
      </c>
      <c r="B18" s="20"/>
      <c r="C18" s="20"/>
      <c r="D18" s="20"/>
      <c r="E18" s="20"/>
      <c r="F18" s="20"/>
      <c r="G18" s="20"/>
      <c r="H18" s="20"/>
    </row>
    <row r="19" spans="1:8">
      <c r="A19" s="26"/>
      <c r="B19" s="26"/>
      <c r="C19" s="26"/>
      <c r="D19" s="26"/>
      <c r="E19" s="26"/>
      <c r="F19" s="26"/>
      <c r="G19" s="26"/>
      <c r="H19" s="26"/>
    </row>
    <row r="20" spans="1:8">
      <c r="A20" s="26"/>
      <c r="B20" s="26"/>
      <c r="C20" s="26"/>
      <c r="D20" s="26"/>
      <c r="E20" s="26"/>
      <c r="F20" s="26"/>
      <c r="G20" s="26"/>
      <c r="H20" s="26"/>
    </row>
    <row r="21" spans="1:8">
      <c r="A21" s="11" t="s">
        <v>27</v>
      </c>
      <c r="B21" s="21" t="s">
        <v>28</v>
      </c>
      <c r="C21" s="21" t="s">
        <v>29</v>
      </c>
      <c r="D21" s="12" t="s">
        <v>17</v>
      </c>
      <c r="E21" s="26"/>
      <c r="F21" s="26"/>
      <c r="G21" s="26"/>
      <c r="H21" s="26"/>
    </row>
    <row r="22" spans="1:8">
      <c r="A22" s="13" t="s">
        <v>30</v>
      </c>
      <c r="B22" s="3">
        <f>COUNTIFS(Casos!$F$6:$F$65,$A22)</f>
        <v>36</v>
      </c>
      <c r="C22" s="3">
        <f>COUNTIFS(Casos!$F$6:$F$65,$A22,Casos!$O$6:$O$65,"&lt;&gt;")</f>
        <v>1</v>
      </c>
      <c r="D22" s="22">
        <f>COUNTIFS(Casos!$F$6:$F$65,$A22,Casos!$O$6:$O$65,"PASS")</f>
        <v>1</v>
      </c>
      <c r="E22" s="26"/>
      <c r="F22" s="26"/>
      <c r="G22" s="26"/>
      <c r="H22" s="26"/>
    </row>
    <row r="23" spans="1:8">
      <c r="A23" s="13" t="s">
        <v>31</v>
      </c>
      <c r="B23" s="3">
        <f>COUNTIFS(Casos!$F$6:$F$65,$A23)</f>
        <v>12</v>
      </c>
      <c r="C23" s="3">
        <f>COUNTIFS(Casos!$F$6:$F$65,$A23,Casos!$O$6:$O$65,"&lt;&gt;")</f>
        <v>0</v>
      </c>
      <c r="D23" s="22">
        <f>COUNTIFS(Casos!$F$6:$F$65,$A23,Casos!$O$6:$O$65,"PASS")</f>
        <v>0</v>
      </c>
      <c r="E23" s="26"/>
      <c r="F23" s="26"/>
      <c r="G23" s="26"/>
      <c r="H23" s="26"/>
    </row>
    <row r="24" spans="1:8">
      <c r="A24" s="13" t="s">
        <v>32</v>
      </c>
      <c r="B24" s="3">
        <f>COUNTIFS(Casos!$F$6:$F$65,$A24)</f>
        <v>12</v>
      </c>
      <c r="C24" s="3">
        <f>COUNTIFS(Casos!$F$6:$F$65,$A24,Casos!$O$6:$O$65,"&lt;&gt;")</f>
        <v>0</v>
      </c>
      <c r="D24" s="22">
        <f>COUNTIFS(Casos!$F$6:$F$65,$A24,Casos!$O$6:$O$65,"PASS")</f>
        <v>0</v>
      </c>
      <c r="E24" s="26"/>
      <c r="F24" s="26"/>
      <c r="G24" s="26"/>
      <c r="H24" s="26"/>
    </row>
    <row r="25" spans="1:8">
      <c r="A25" s="23" t="s">
        <v>33</v>
      </c>
      <c r="B25" s="24">
        <f>SUM(B22:B24)</f>
        <v>60</v>
      </c>
      <c r="C25" s="24">
        <f>SUM(C22:C24)</f>
        <v>1</v>
      </c>
      <c r="D25" s="25">
        <f>SUM(D22:D24)</f>
        <v>1</v>
      </c>
      <c r="E25" s="26"/>
      <c r="F25" s="26"/>
      <c r="G25" s="26"/>
      <c r="H25" s="26"/>
    </row>
  </sheetData>
  <conditionalFormatting sqref="H7">
    <cfRule type="containsText" dxfId="6" priority="1" operator="containsText" text="PENDIENTE"/>
    <cfRule type="containsText" dxfId="5" priority="2" operator="containsText" text="COMPLETO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T6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P6" sqref="P6"/>
    </sheetView>
  </sheetViews>
  <sheetFormatPr baseColWidth="10" defaultColWidth="8.6640625" defaultRowHeight="14"/>
  <cols>
    <col min="1" max="1" width="16" customWidth="1"/>
    <col min="2" max="2" width="9" customWidth="1"/>
    <col min="3" max="3" width="15" customWidth="1"/>
    <col min="4" max="4" width="12" customWidth="1"/>
    <col min="5" max="5" width="48" customWidth="1"/>
    <col min="6" max="6" width="23" customWidth="1"/>
    <col min="7" max="7" width="55" customWidth="1"/>
    <col min="8" max="8" width="46" customWidth="1"/>
    <col min="9" max="9" width="25" customWidth="1"/>
    <col min="10" max="10" width="28" customWidth="1"/>
    <col min="11" max="11" width="23" customWidth="1"/>
    <col min="12" max="12" width="55" customWidth="1"/>
    <col min="13" max="14" width="18" customWidth="1"/>
    <col min="15" max="15" width="16" customWidth="1"/>
    <col min="16" max="16" width="30" customWidth="1"/>
    <col min="17" max="17" width="46" customWidth="1"/>
    <col min="18" max="18" width="20" customWidth="1"/>
    <col min="19" max="19" width="14" customWidth="1"/>
    <col min="20" max="20" width="24" customWidth="1"/>
  </cols>
  <sheetData>
    <row r="2" spans="1:20" ht="19">
      <c r="A2" s="27" t="s">
        <v>34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spans="1:20" ht="36" customHeight="1">
      <c r="A5" s="28" t="s">
        <v>36</v>
      </c>
      <c r="B5" s="28" t="s">
        <v>37</v>
      </c>
      <c r="C5" s="28" t="s">
        <v>38</v>
      </c>
      <c r="D5" s="28" t="s">
        <v>39</v>
      </c>
      <c r="E5" s="28" t="s">
        <v>40</v>
      </c>
      <c r="F5" s="28" t="s">
        <v>41</v>
      </c>
      <c r="G5" s="28" t="s">
        <v>42</v>
      </c>
      <c r="H5" s="28" t="s">
        <v>43</v>
      </c>
      <c r="I5" s="28" t="s">
        <v>44</v>
      </c>
      <c r="J5" s="28" t="s">
        <v>45</v>
      </c>
      <c r="K5" s="28" t="s">
        <v>46</v>
      </c>
      <c r="L5" s="28" t="s">
        <v>47</v>
      </c>
      <c r="M5" s="28" t="s">
        <v>48</v>
      </c>
      <c r="N5" s="28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28" t="s">
        <v>55</v>
      </c>
    </row>
    <row r="6" spans="1:20" ht="72" customHeight="1">
      <c r="A6" s="29" t="s">
        <v>56</v>
      </c>
      <c r="B6" s="29" t="s">
        <v>57</v>
      </c>
      <c r="C6" s="29" t="s">
        <v>58</v>
      </c>
      <c r="D6" s="29" t="s">
        <v>59</v>
      </c>
      <c r="E6" s="30" t="s">
        <v>60</v>
      </c>
      <c r="F6" s="30" t="s">
        <v>30</v>
      </c>
      <c r="G6" s="30" t="s">
        <v>61</v>
      </c>
      <c r="H6" s="30" t="s">
        <v>62</v>
      </c>
      <c r="I6" s="30" t="s">
        <v>63</v>
      </c>
      <c r="J6" s="30" t="s">
        <v>64</v>
      </c>
      <c r="K6" s="31" t="s">
        <v>30</v>
      </c>
      <c r="L6" s="35" t="s">
        <v>302</v>
      </c>
      <c r="M6" s="31" t="s">
        <v>17</v>
      </c>
      <c r="N6" s="31" t="s">
        <v>17</v>
      </c>
      <c r="O6" s="31" t="s">
        <v>17</v>
      </c>
      <c r="P6" s="31" t="s">
        <v>303</v>
      </c>
      <c r="Q6" s="32"/>
      <c r="R6" s="33">
        <f>IF($O6="","",Resumen!$B$5)</f>
        <v>0</v>
      </c>
      <c r="S6" s="34">
        <f>IF($O6="","",Resumen!$B$6)</f>
        <v>0</v>
      </c>
      <c r="T6" s="33" t="str">
        <f t="shared" ref="T6:T37" si="0">IF($O6="","PENDIENTE",IF($O6="PASS","REVISADO - PASS",IF($O6="FAIL","REVISADO - FAIL","REQUIERE REVISIÓN")))</f>
        <v>REVISADO - PASS</v>
      </c>
    </row>
    <row r="7" spans="1:20" ht="72" customHeight="1">
      <c r="A7" s="29" t="s">
        <v>66</v>
      </c>
      <c r="B7" s="29" t="s">
        <v>57</v>
      </c>
      <c r="C7" s="29" t="s">
        <v>58</v>
      </c>
      <c r="D7" s="29" t="s">
        <v>59</v>
      </c>
      <c r="E7" s="30" t="s">
        <v>67</v>
      </c>
      <c r="F7" s="30" t="s">
        <v>30</v>
      </c>
      <c r="G7" s="30" t="s">
        <v>68</v>
      </c>
      <c r="H7" s="30" t="s">
        <v>69</v>
      </c>
      <c r="I7" s="30" t="s">
        <v>63</v>
      </c>
      <c r="J7" s="30" t="s">
        <v>64</v>
      </c>
      <c r="K7" s="31"/>
      <c r="L7" s="32"/>
      <c r="M7" s="31" t="s">
        <v>65</v>
      </c>
      <c r="N7" s="31" t="s">
        <v>65</v>
      </c>
      <c r="O7" s="31"/>
      <c r="P7" s="31"/>
      <c r="Q7" s="32"/>
      <c r="R7" s="33" t="str">
        <f>IF($O7="","",Resumen!$B$5)</f>
        <v/>
      </c>
      <c r="S7" s="34" t="str">
        <f>IF($O7="","",Resumen!$B$6)</f>
        <v/>
      </c>
      <c r="T7" s="33" t="str">
        <f t="shared" si="0"/>
        <v>PENDIENTE</v>
      </c>
    </row>
    <row r="8" spans="1:20" ht="72" customHeight="1">
      <c r="A8" s="29" t="s">
        <v>70</v>
      </c>
      <c r="B8" s="29" t="s">
        <v>57</v>
      </c>
      <c r="C8" s="29" t="s">
        <v>58</v>
      </c>
      <c r="D8" s="29" t="s">
        <v>59</v>
      </c>
      <c r="E8" s="30" t="s">
        <v>71</v>
      </c>
      <c r="F8" s="30" t="s">
        <v>30</v>
      </c>
      <c r="G8" s="30" t="s">
        <v>72</v>
      </c>
      <c r="H8" s="30" t="s">
        <v>73</v>
      </c>
      <c r="I8" s="30" t="s">
        <v>74</v>
      </c>
      <c r="J8" s="30" t="s">
        <v>75</v>
      </c>
      <c r="K8" s="31"/>
      <c r="L8" s="32"/>
      <c r="M8" s="31" t="s">
        <v>65</v>
      </c>
      <c r="N8" s="31" t="s">
        <v>65</v>
      </c>
      <c r="O8" s="31"/>
      <c r="P8" s="31"/>
      <c r="Q8" s="32"/>
      <c r="R8" s="33" t="str">
        <f>IF($O8="","",Resumen!$B$5)</f>
        <v/>
      </c>
      <c r="S8" s="34" t="str">
        <f>IF($O8="","",Resumen!$B$6)</f>
        <v/>
      </c>
      <c r="T8" s="33" t="str">
        <f t="shared" si="0"/>
        <v>PENDIENTE</v>
      </c>
    </row>
    <row r="9" spans="1:20" ht="72" customHeight="1">
      <c r="A9" s="29" t="s">
        <v>76</v>
      </c>
      <c r="B9" s="29" t="s">
        <v>57</v>
      </c>
      <c r="C9" s="29" t="s">
        <v>58</v>
      </c>
      <c r="D9" s="29" t="s">
        <v>59</v>
      </c>
      <c r="E9" s="30" t="s">
        <v>77</v>
      </c>
      <c r="F9" s="30" t="s">
        <v>30</v>
      </c>
      <c r="G9" s="30" t="s">
        <v>78</v>
      </c>
      <c r="H9" s="30" t="s">
        <v>79</v>
      </c>
      <c r="I9" s="30" t="s">
        <v>74</v>
      </c>
      <c r="J9" s="30" t="s">
        <v>75</v>
      </c>
      <c r="K9" s="31"/>
      <c r="L9" s="32"/>
      <c r="M9" s="31" t="s">
        <v>65</v>
      </c>
      <c r="N9" s="31" t="s">
        <v>65</v>
      </c>
      <c r="O9" s="31"/>
      <c r="P9" s="31"/>
      <c r="Q9" s="32"/>
      <c r="R9" s="33" t="str">
        <f>IF($O9="","",Resumen!$B$5)</f>
        <v/>
      </c>
      <c r="S9" s="34" t="str">
        <f>IF($O9="","",Resumen!$B$6)</f>
        <v/>
      </c>
      <c r="T9" s="33" t="str">
        <f t="shared" si="0"/>
        <v>PENDIENTE</v>
      </c>
    </row>
    <row r="10" spans="1:20" ht="72" customHeight="1">
      <c r="A10" s="29" t="s">
        <v>80</v>
      </c>
      <c r="B10" s="29" t="s">
        <v>57</v>
      </c>
      <c r="C10" s="29" t="s">
        <v>58</v>
      </c>
      <c r="D10" s="29" t="s">
        <v>81</v>
      </c>
      <c r="E10" s="30" t="s">
        <v>82</v>
      </c>
      <c r="F10" s="30" t="s">
        <v>30</v>
      </c>
      <c r="G10" s="30" t="s">
        <v>83</v>
      </c>
      <c r="H10" s="30" t="s">
        <v>84</v>
      </c>
      <c r="I10" s="30" t="s">
        <v>85</v>
      </c>
      <c r="J10" s="30" t="s">
        <v>86</v>
      </c>
      <c r="K10" s="31"/>
      <c r="L10" s="32"/>
      <c r="M10" s="31" t="s">
        <v>65</v>
      </c>
      <c r="N10" s="31" t="s">
        <v>65</v>
      </c>
      <c r="O10" s="31"/>
      <c r="P10" s="31"/>
      <c r="Q10" s="32"/>
      <c r="R10" s="33" t="str">
        <f>IF($O10="","",Resumen!$B$5)</f>
        <v/>
      </c>
      <c r="S10" s="34" t="str">
        <f>IF($O10="","",Resumen!$B$6)</f>
        <v/>
      </c>
      <c r="T10" s="33" t="str">
        <f t="shared" si="0"/>
        <v>PENDIENTE</v>
      </c>
    </row>
    <row r="11" spans="1:20" ht="72" customHeight="1">
      <c r="A11" s="29" t="s">
        <v>87</v>
      </c>
      <c r="B11" s="29" t="s">
        <v>57</v>
      </c>
      <c r="C11" s="29" t="s">
        <v>58</v>
      </c>
      <c r="D11" s="29" t="s">
        <v>81</v>
      </c>
      <c r="E11" s="30" t="s">
        <v>88</v>
      </c>
      <c r="F11" s="30" t="s">
        <v>30</v>
      </c>
      <c r="G11" s="30" t="s">
        <v>89</v>
      </c>
      <c r="H11" s="30" t="s">
        <v>90</v>
      </c>
      <c r="I11" s="30" t="s">
        <v>85</v>
      </c>
      <c r="J11" s="30" t="s">
        <v>86</v>
      </c>
      <c r="K11" s="31"/>
      <c r="L11" s="32"/>
      <c r="M11" s="31" t="s">
        <v>65</v>
      </c>
      <c r="N11" s="31" t="s">
        <v>65</v>
      </c>
      <c r="O11" s="31"/>
      <c r="P11" s="31"/>
      <c r="Q11" s="32"/>
      <c r="R11" s="33" t="str">
        <f>IF($O11="","",Resumen!$B$5)</f>
        <v/>
      </c>
      <c r="S11" s="34" t="str">
        <f>IF($O11="","",Resumen!$B$6)</f>
        <v/>
      </c>
      <c r="T11" s="33" t="str">
        <f t="shared" si="0"/>
        <v>PENDIENTE</v>
      </c>
    </row>
    <row r="12" spans="1:20" ht="72" customHeight="1">
      <c r="A12" s="29" t="s">
        <v>91</v>
      </c>
      <c r="B12" s="29" t="s">
        <v>57</v>
      </c>
      <c r="C12" s="29" t="s">
        <v>58</v>
      </c>
      <c r="D12" s="29" t="s">
        <v>81</v>
      </c>
      <c r="E12" s="30" t="s">
        <v>92</v>
      </c>
      <c r="F12" s="30" t="s">
        <v>30</v>
      </c>
      <c r="G12" s="30" t="s">
        <v>93</v>
      </c>
      <c r="H12" s="30" t="s">
        <v>94</v>
      </c>
      <c r="I12" s="30" t="s">
        <v>95</v>
      </c>
      <c r="J12" s="30" t="s">
        <v>96</v>
      </c>
      <c r="K12" s="31"/>
      <c r="L12" s="32"/>
      <c r="M12" s="31" t="s">
        <v>65</v>
      </c>
      <c r="N12" s="31" t="s">
        <v>65</v>
      </c>
      <c r="O12" s="31"/>
      <c r="P12" s="31"/>
      <c r="Q12" s="32"/>
      <c r="R12" s="33" t="str">
        <f>IF($O12="","",Resumen!$B$5)</f>
        <v/>
      </c>
      <c r="S12" s="34" t="str">
        <f>IF($O12="","",Resumen!$B$6)</f>
        <v/>
      </c>
      <c r="T12" s="33" t="str">
        <f t="shared" si="0"/>
        <v>PENDIENTE</v>
      </c>
    </row>
    <row r="13" spans="1:20" ht="72" customHeight="1">
      <c r="A13" s="29" t="s">
        <v>97</v>
      </c>
      <c r="B13" s="29" t="s">
        <v>57</v>
      </c>
      <c r="C13" s="29" t="s">
        <v>58</v>
      </c>
      <c r="D13" s="29" t="s">
        <v>81</v>
      </c>
      <c r="E13" s="30" t="s">
        <v>98</v>
      </c>
      <c r="F13" s="30" t="s">
        <v>30</v>
      </c>
      <c r="G13" s="30" t="s">
        <v>99</v>
      </c>
      <c r="H13" s="30" t="s">
        <v>100</v>
      </c>
      <c r="I13" s="30" t="s">
        <v>101</v>
      </c>
      <c r="J13" s="30" t="s">
        <v>102</v>
      </c>
      <c r="K13" s="31"/>
      <c r="L13" s="32"/>
      <c r="M13" s="31" t="s">
        <v>65</v>
      </c>
      <c r="N13" s="31" t="s">
        <v>65</v>
      </c>
      <c r="O13" s="31"/>
      <c r="P13" s="31"/>
      <c r="Q13" s="32"/>
      <c r="R13" s="33" t="str">
        <f>IF($O13="","",Resumen!$B$5)</f>
        <v/>
      </c>
      <c r="S13" s="34" t="str">
        <f>IF($O13="","",Resumen!$B$6)</f>
        <v/>
      </c>
      <c r="T13" s="33" t="str">
        <f t="shared" si="0"/>
        <v>PENDIENTE</v>
      </c>
    </row>
    <row r="14" spans="1:20" ht="72" customHeight="1">
      <c r="A14" s="29" t="s">
        <v>103</v>
      </c>
      <c r="B14" s="29" t="s">
        <v>57</v>
      </c>
      <c r="C14" s="29" t="s">
        <v>58</v>
      </c>
      <c r="D14" s="29"/>
      <c r="E14" s="30" t="s">
        <v>104</v>
      </c>
      <c r="F14" s="30" t="s">
        <v>30</v>
      </c>
      <c r="G14" s="30" t="s">
        <v>105</v>
      </c>
      <c r="H14" s="30" t="s">
        <v>106</v>
      </c>
      <c r="I14" s="30" t="s">
        <v>107</v>
      </c>
      <c r="J14" s="30" t="s">
        <v>108</v>
      </c>
      <c r="K14" s="31"/>
      <c r="L14" s="32"/>
      <c r="M14" s="31" t="s">
        <v>65</v>
      </c>
      <c r="N14" s="31" t="s">
        <v>65</v>
      </c>
      <c r="O14" s="31"/>
      <c r="P14" s="31"/>
      <c r="Q14" s="32"/>
      <c r="R14" s="33" t="str">
        <f>IF($O14="","",Resumen!$B$5)</f>
        <v/>
      </c>
      <c r="S14" s="34" t="str">
        <f>IF($O14="","",Resumen!$B$6)</f>
        <v/>
      </c>
      <c r="T14" s="33" t="str">
        <f t="shared" si="0"/>
        <v>PENDIENTE</v>
      </c>
    </row>
    <row r="15" spans="1:20" ht="72" customHeight="1">
      <c r="A15" s="29" t="s">
        <v>109</v>
      </c>
      <c r="B15" s="29" t="s">
        <v>57</v>
      </c>
      <c r="C15" s="29" t="s">
        <v>58</v>
      </c>
      <c r="D15" s="29"/>
      <c r="E15" s="30" t="s">
        <v>110</v>
      </c>
      <c r="F15" s="30" t="s">
        <v>30</v>
      </c>
      <c r="G15" s="30" t="s">
        <v>111</v>
      </c>
      <c r="H15" s="30" t="s">
        <v>112</v>
      </c>
      <c r="I15" s="30" t="s">
        <v>107</v>
      </c>
      <c r="J15" s="30" t="s">
        <v>108</v>
      </c>
      <c r="K15" s="31"/>
      <c r="L15" s="32"/>
      <c r="M15" s="31" t="s">
        <v>65</v>
      </c>
      <c r="N15" s="31" t="s">
        <v>65</v>
      </c>
      <c r="O15" s="31"/>
      <c r="P15" s="31"/>
      <c r="Q15" s="32"/>
      <c r="R15" s="33" t="str">
        <f>IF($O15="","",Resumen!$B$5)</f>
        <v/>
      </c>
      <c r="S15" s="34" t="str">
        <f>IF($O15="","",Resumen!$B$6)</f>
        <v/>
      </c>
      <c r="T15" s="33" t="str">
        <f t="shared" si="0"/>
        <v>PENDIENTE</v>
      </c>
    </row>
    <row r="16" spans="1:20" ht="72" customHeight="1">
      <c r="A16" s="29" t="s">
        <v>113</v>
      </c>
      <c r="B16" s="29" t="s">
        <v>57</v>
      </c>
      <c r="C16" s="29" t="s">
        <v>58</v>
      </c>
      <c r="D16" s="29"/>
      <c r="E16" s="30" t="s">
        <v>114</v>
      </c>
      <c r="F16" s="30" t="s">
        <v>30</v>
      </c>
      <c r="G16" s="30" t="s">
        <v>115</v>
      </c>
      <c r="H16" s="30" t="s">
        <v>116</v>
      </c>
      <c r="I16" s="30" t="s">
        <v>117</v>
      </c>
      <c r="J16" s="30" t="s">
        <v>118</v>
      </c>
      <c r="K16" s="31"/>
      <c r="L16" s="32"/>
      <c r="M16" s="31" t="s">
        <v>65</v>
      </c>
      <c r="N16" s="31" t="s">
        <v>65</v>
      </c>
      <c r="O16" s="31"/>
      <c r="P16" s="31"/>
      <c r="Q16" s="32"/>
      <c r="R16" s="33" t="str">
        <f>IF($O16="","",Resumen!$B$5)</f>
        <v/>
      </c>
      <c r="S16" s="34" t="str">
        <f>IF($O16="","",Resumen!$B$6)</f>
        <v/>
      </c>
      <c r="T16" s="33" t="str">
        <f t="shared" si="0"/>
        <v>PENDIENTE</v>
      </c>
    </row>
    <row r="17" spans="1:20" ht="72" customHeight="1">
      <c r="A17" s="29" t="s">
        <v>119</v>
      </c>
      <c r="B17" s="29" t="s">
        <v>57</v>
      </c>
      <c r="C17" s="29" t="s">
        <v>58</v>
      </c>
      <c r="D17" s="29"/>
      <c r="E17" s="30" t="s">
        <v>120</v>
      </c>
      <c r="F17" s="30" t="s">
        <v>30</v>
      </c>
      <c r="G17" s="30" t="s">
        <v>121</v>
      </c>
      <c r="H17" s="30" t="s">
        <v>122</v>
      </c>
      <c r="I17" s="30" t="s">
        <v>117</v>
      </c>
      <c r="J17" s="30" t="s">
        <v>123</v>
      </c>
      <c r="K17" s="31"/>
      <c r="L17" s="32"/>
      <c r="M17" s="31" t="s">
        <v>65</v>
      </c>
      <c r="N17" s="31" t="s">
        <v>65</v>
      </c>
      <c r="O17" s="31"/>
      <c r="P17" s="31"/>
      <c r="Q17" s="32"/>
      <c r="R17" s="33" t="str">
        <f>IF($O17="","",Resumen!$B$5)</f>
        <v/>
      </c>
      <c r="S17" s="34" t="str">
        <f>IF($O17="","",Resumen!$B$6)</f>
        <v/>
      </c>
      <c r="T17" s="33" t="str">
        <f t="shared" si="0"/>
        <v>PENDIENTE</v>
      </c>
    </row>
    <row r="18" spans="1:20" ht="72" customHeight="1">
      <c r="A18" s="29" t="s">
        <v>124</v>
      </c>
      <c r="B18" s="29" t="s">
        <v>57</v>
      </c>
      <c r="C18" s="29" t="s">
        <v>58</v>
      </c>
      <c r="D18" s="29"/>
      <c r="E18" s="30" t="s">
        <v>125</v>
      </c>
      <c r="F18" s="30" t="s">
        <v>30</v>
      </c>
      <c r="G18" s="30" t="s">
        <v>126</v>
      </c>
      <c r="H18" s="30" t="s">
        <v>127</v>
      </c>
      <c r="I18" s="30" t="s">
        <v>128</v>
      </c>
      <c r="J18" s="30" t="s">
        <v>129</v>
      </c>
      <c r="K18" s="31"/>
      <c r="L18" s="32"/>
      <c r="M18" s="31" t="s">
        <v>65</v>
      </c>
      <c r="N18" s="31" t="s">
        <v>65</v>
      </c>
      <c r="O18" s="31"/>
      <c r="P18" s="31"/>
      <c r="Q18" s="32"/>
      <c r="R18" s="33" t="str">
        <f>IF($O18="","",Resumen!$B$5)</f>
        <v/>
      </c>
      <c r="S18" s="34" t="str">
        <f>IF($O18="","",Resumen!$B$6)</f>
        <v/>
      </c>
      <c r="T18" s="33" t="str">
        <f t="shared" si="0"/>
        <v>PENDIENTE</v>
      </c>
    </row>
    <row r="19" spans="1:20" ht="72" customHeight="1">
      <c r="A19" s="29" t="s">
        <v>130</v>
      </c>
      <c r="B19" s="29" t="s">
        <v>57</v>
      </c>
      <c r="C19" s="29" t="s">
        <v>58</v>
      </c>
      <c r="D19" s="29"/>
      <c r="E19" s="30" t="s">
        <v>131</v>
      </c>
      <c r="F19" s="30" t="s">
        <v>30</v>
      </c>
      <c r="G19" s="30" t="s">
        <v>132</v>
      </c>
      <c r="H19" s="30" t="s">
        <v>133</v>
      </c>
      <c r="I19" s="30" t="s">
        <v>128</v>
      </c>
      <c r="J19" s="30" t="s">
        <v>129</v>
      </c>
      <c r="K19" s="31"/>
      <c r="L19" s="32"/>
      <c r="M19" s="31" t="s">
        <v>65</v>
      </c>
      <c r="N19" s="31" t="s">
        <v>65</v>
      </c>
      <c r="O19" s="31"/>
      <c r="P19" s="31"/>
      <c r="Q19" s="32"/>
      <c r="R19" s="33" t="str">
        <f>IF($O19="","",Resumen!$B$5)</f>
        <v/>
      </c>
      <c r="S19" s="34" t="str">
        <f>IF($O19="","",Resumen!$B$6)</f>
        <v/>
      </c>
      <c r="T19" s="33" t="str">
        <f t="shared" si="0"/>
        <v>PENDIENTE</v>
      </c>
    </row>
    <row r="20" spans="1:20" ht="72" customHeight="1">
      <c r="A20" s="29" t="s">
        <v>134</v>
      </c>
      <c r="B20" s="29" t="s">
        <v>57</v>
      </c>
      <c r="C20" s="29" t="s">
        <v>58</v>
      </c>
      <c r="D20" s="29"/>
      <c r="E20" s="30" t="s">
        <v>135</v>
      </c>
      <c r="F20" s="30" t="s">
        <v>30</v>
      </c>
      <c r="G20" s="30" t="s">
        <v>136</v>
      </c>
      <c r="H20" s="30" t="s">
        <v>137</v>
      </c>
      <c r="I20" s="30" t="s">
        <v>138</v>
      </c>
      <c r="J20" s="30" t="s">
        <v>139</v>
      </c>
      <c r="K20" s="31"/>
      <c r="L20" s="32"/>
      <c r="M20" s="31" t="s">
        <v>65</v>
      </c>
      <c r="N20" s="31" t="s">
        <v>65</v>
      </c>
      <c r="O20" s="31"/>
      <c r="P20" s="31"/>
      <c r="Q20" s="32"/>
      <c r="R20" s="33" t="str">
        <f>IF($O20="","",Resumen!$B$5)</f>
        <v/>
      </c>
      <c r="S20" s="34" t="str">
        <f>IF($O20="","",Resumen!$B$6)</f>
        <v/>
      </c>
      <c r="T20" s="33" t="str">
        <f t="shared" si="0"/>
        <v>PENDIENTE</v>
      </c>
    </row>
    <row r="21" spans="1:20" ht="72" customHeight="1">
      <c r="A21" s="29" t="s">
        <v>140</v>
      </c>
      <c r="B21" s="29" t="s">
        <v>57</v>
      </c>
      <c r="C21" s="29" t="s">
        <v>58</v>
      </c>
      <c r="D21" s="29"/>
      <c r="E21" s="30" t="s">
        <v>141</v>
      </c>
      <c r="F21" s="30" t="s">
        <v>30</v>
      </c>
      <c r="G21" s="30" t="s">
        <v>142</v>
      </c>
      <c r="H21" s="30" t="s">
        <v>143</v>
      </c>
      <c r="I21" s="30" t="s">
        <v>138</v>
      </c>
      <c r="J21" s="30" t="s">
        <v>144</v>
      </c>
      <c r="K21" s="31"/>
      <c r="L21" s="32"/>
      <c r="M21" s="31" t="s">
        <v>65</v>
      </c>
      <c r="N21" s="31" t="s">
        <v>65</v>
      </c>
      <c r="O21" s="31"/>
      <c r="P21" s="31"/>
      <c r="Q21" s="32"/>
      <c r="R21" s="33" t="str">
        <f>IF($O21="","",Resumen!$B$5)</f>
        <v/>
      </c>
      <c r="S21" s="34" t="str">
        <f>IF($O21="","",Resumen!$B$6)</f>
        <v/>
      </c>
      <c r="T21" s="33" t="str">
        <f t="shared" si="0"/>
        <v>PENDIENTE</v>
      </c>
    </row>
    <row r="22" spans="1:20" ht="72" customHeight="1">
      <c r="A22" s="29" t="s">
        <v>145</v>
      </c>
      <c r="B22" s="29" t="s">
        <v>57</v>
      </c>
      <c r="C22" s="29" t="s">
        <v>58</v>
      </c>
      <c r="D22" s="29" t="s">
        <v>59</v>
      </c>
      <c r="E22" s="30" t="s">
        <v>146</v>
      </c>
      <c r="F22" s="30" t="s">
        <v>30</v>
      </c>
      <c r="G22" s="30" t="s">
        <v>147</v>
      </c>
      <c r="H22" s="30" t="s">
        <v>148</v>
      </c>
      <c r="I22" s="30" t="s">
        <v>149</v>
      </c>
      <c r="J22" s="30" t="s">
        <v>150</v>
      </c>
      <c r="K22" s="31"/>
      <c r="L22" s="32"/>
      <c r="M22" s="31" t="s">
        <v>65</v>
      </c>
      <c r="N22" s="31" t="s">
        <v>65</v>
      </c>
      <c r="O22" s="31"/>
      <c r="P22" s="31"/>
      <c r="Q22" s="32"/>
      <c r="R22" s="33" t="str">
        <f>IF($O22="","",Resumen!$B$5)</f>
        <v/>
      </c>
      <c r="S22" s="34" t="str">
        <f>IF($O22="","",Resumen!$B$6)</f>
        <v/>
      </c>
      <c r="T22" s="33" t="str">
        <f t="shared" si="0"/>
        <v>PENDIENTE</v>
      </c>
    </row>
    <row r="23" spans="1:20" ht="72" customHeight="1">
      <c r="A23" s="29" t="s">
        <v>151</v>
      </c>
      <c r="B23" s="29" t="s">
        <v>57</v>
      </c>
      <c r="C23" s="29" t="s">
        <v>58</v>
      </c>
      <c r="D23" s="29" t="s">
        <v>59</v>
      </c>
      <c r="E23" s="30" t="s">
        <v>152</v>
      </c>
      <c r="F23" s="30" t="s">
        <v>30</v>
      </c>
      <c r="G23" s="30" t="s">
        <v>153</v>
      </c>
      <c r="H23" s="30" t="s">
        <v>154</v>
      </c>
      <c r="I23" s="30" t="s">
        <v>149</v>
      </c>
      <c r="J23" s="30" t="s">
        <v>150</v>
      </c>
      <c r="K23" s="31"/>
      <c r="L23" s="32"/>
      <c r="M23" s="31" t="s">
        <v>65</v>
      </c>
      <c r="N23" s="31" t="s">
        <v>65</v>
      </c>
      <c r="O23" s="31"/>
      <c r="P23" s="31"/>
      <c r="Q23" s="32"/>
      <c r="R23" s="33" t="str">
        <f>IF($O23="","",Resumen!$B$5)</f>
        <v/>
      </c>
      <c r="S23" s="34" t="str">
        <f>IF($O23="","",Resumen!$B$6)</f>
        <v/>
      </c>
      <c r="T23" s="33" t="str">
        <f t="shared" si="0"/>
        <v>PENDIENTE</v>
      </c>
    </row>
    <row r="24" spans="1:20" ht="72" customHeight="1">
      <c r="A24" s="29" t="s">
        <v>155</v>
      </c>
      <c r="B24" s="29" t="s">
        <v>57</v>
      </c>
      <c r="C24" s="29" t="s">
        <v>156</v>
      </c>
      <c r="D24" s="29" t="s">
        <v>81</v>
      </c>
      <c r="E24" s="30" t="s">
        <v>157</v>
      </c>
      <c r="F24" s="30" t="s">
        <v>32</v>
      </c>
      <c r="G24" s="30"/>
      <c r="H24" s="30"/>
      <c r="I24" s="30"/>
      <c r="J24" s="30"/>
      <c r="K24" s="31"/>
      <c r="L24" s="32"/>
      <c r="M24" s="31" t="s">
        <v>65</v>
      </c>
      <c r="N24" s="31" t="s">
        <v>65</v>
      </c>
      <c r="O24" s="31"/>
      <c r="P24" s="31"/>
      <c r="Q24" s="32"/>
      <c r="R24" s="33" t="str">
        <f>IF($O24="","",Resumen!$B$5)</f>
        <v/>
      </c>
      <c r="S24" s="34" t="str">
        <f>IF($O24="","",Resumen!$B$6)</f>
        <v/>
      </c>
      <c r="T24" s="33" t="str">
        <f t="shared" si="0"/>
        <v>PENDIENTE</v>
      </c>
    </row>
    <row r="25" spans="1:20" ht="72" customHeight="1">
      <c r="A25" s="29" t="s">
        <v>158</v>
      </c>
      <c r="B25" s="29" t="s">
        <v>57</v>
      </c>
      <c r="C25" s="29" t="s">
        <v>156</v>
      </c>
      <c r="D25" s="29" t="s">
        <v>81</v>
      </c>
      <c r="E25" s="30" t="s">
        <v>159</v>
      </c>
      <c r="F25" s="30" t="s">
        <v>32</v>
      </c>
      <c r="G25" s="30"/>
      <c r="H25" s="30"/>
      <c r="I25" s="30"/>
      <c r="J25" s="30"/>
      <c r="K25" s="31"/>
      <c r="L25" s="32"/>
      <c r="M25" s="31" t="s">
        <v>65</v>
      </c>
      <c r="N25" s="31" t="s">
        <v>65</v>
      </c>
      <c r="O25" s="31"/>
      <c r="P25" s="31"/>
      <c r="Q25" s="32"/>
      <c r="R25" s="33" t="str">
        <f>IF($O25="","",Resumen!$B$5)</f>
        <v/>
      </c>
      <c r="S25" s="34" t="str">
        <f>IF($O25="","",Resumen!$B$6)</f>
        <v/>
      </c>
      <c r="T25" s="33" t="str">
        <f t="shared" si="0"/>
        <v>PENDIENTE</v>
      </c>
    </row>
    <row r="26" spans="1:20" ht="72" customHeight="1">
      <c r="A26" s="29" t="s">
        <v>160</v>
      </c>
      <c r="B26" s="29" t="s">
        <v>57</v>
      </c>
      <c r="C26" s="29" t="s">
        <v>156</v>
      </c>
      <c r="D26" s="29" t="s">
        <v>59</v>
      </c>
      <c r="E26" s="30" t="s">
        <v>161</v>
      </c>
      <c r="F26" s="30" t="s">
        <v>32</v>
      </c>
      <c r="G26" s="30"/>
      <c r="H26" s="30"/>
      <c r="I26" s="30"/>
      <c r="J26" s="30"/>
      <c r="K26" s="31"/>
      <c r="L26" s="32"/>
      <c r="M26" s="31" t="s">
        <v>65</v>
      </c>
      <c r="N26" s="31" t="s">
        <v>65</v>
      </c>
      <c r="O26" s="31"/>
      <c r="P26" s="31"/>
      <c r="Q26" s="32"/>
      <c r="R26" s="33" t="str">
        <f>IF($O26="","",Resumen!$B$5)</f>
        <v/>
      </c>
      <c r="S26" s="34" t="str">
        <f>IF($O26="","",Resumen!$B$6)</f>
        <v/>
      </c>
      <c r="T26" s="33" t="str">
        <f t="shared" si="0"/>
        <v>PENDIENTE</v>
      </c>
    </row>
    <row r="27" spans="1:20" ht="72" customHeight="1">
      <c r="A27" s="29" t="s">
        <v>162</v>
      </c>
      <c r="B27" s="29" t="s">
        <v>57</v>
      </c>
      <c r="C27" s="29" t="s">
        <v>156</v>
      </c>
      <c r="D27" s="29"/>
      <c r="E27" s="30" t="s">
        <v>163</v>
      </c>
      <c r="F27" s="30" t="s">
        <v>32</v>
      </c>
      <c r="G27" s="30"/>
      <c r="H27" s="30"/>
      <c r="I27" s="30"/>
      <c r="J27" s="30"/>
      <c r="K27" s="31"/>
      <c r="L27" s="32"/>
      <c r="M27" s="31" t="s">
        <v>65</v>
      </c>
      <c r="N27" s="31" t="s">
        <v>65</v>
      </c>
      <c r="O27" s="31"/>
      <c r="P27" s="31"/>
      <c r="Q27" s="32"/>
      <c r="R27" s="33" t="str">
        <f>IF($O27="","",Resumen!$B$5)</f>
        <v/>
      </c>
      <c r="S27" s="34" t="str">
        <f>IF($O27="","",Resumen!$B$6)</f>
        <v/>
      </c>
      <c r="T27" s="33" t="str">
        <f t="shared" si="0"/>
        <v>PENDIENTE</v>
      </c>
    </row>
    <row r="28" spans="1:20" ht="72" customHeight="1">
      <c r="A28" s="29" t="s">
        <v>164</v>
      </c>
      <c r="B28" s="29" t="s">
        <v>57</v>
      </c>
      <c r="C28" s="29" t="s">
        <v>156</v>
      </c>
      <c r="D28" s="29"/>
      <c r="E28" s="30" t="s">
        <v>165</v>
      </c>
      <c r="F28" s="30" t="s">
        <v>32</v>
      </c>
      <c r="G28" s="30"/>
      <c r="H28" s="30"/>
      <c r="I28" s="30"/>
      <c r="J28" s="30"/>
      <c r="K28" s="31"/>
      <c r="L28" s="32"/>
      <c r="M28" s="31" t="s">
        <v>65</v>
      </c>
      <c r="N28" s="31" t="s">
        <v>65</v>
      </c>
      <c r="O28" s="31"/>
      <c r="P28" s="31"/>
      <c r="Q28" s="32"/>
      <c r="R28" s="33" t="str">
        <f>IF($O28="","",Resumen!$B$5)</f>
        <v/>
      </c>
      <c r="S28" s="34" t="str">
        <f>IF($O28="","",Resumen!$B$6)</f>
        <v/>
      </c>
      <c r="T28" s="33" t="str">
        <f t="shared" si="0"/>
        <v>PENDIENTE</v>
      </c>
    </row>
    <row r="29" spans="1:20" ht="72" customHeight="1">
      <c r="A29" s="29" t="s">
        <v>166</v>
      </c>
      <c r="B29" s="29" t="s">
        <v>57</v>
      </c>
      <c r="C29" s="29" t="s">
        <v>156</v>
      </c>
      <c r="D29" s="29" t="s">
        <v>81</v>
      </c>
      <c r="E29" s="30" t="s">
        <v>167</v>
      </c>
      <c r="F29" s="30" t="s">
        <v>32</v>
      </c>
      <c r="G29" s="30"/>
      <c r="H29" s="30"/>
      <c r="I29" s="30"/>
      <c r="J29" s="30"/>
      <c r="K29" s="31"/>
      <c r="L29" s="32"/>
      <c r="M29" s="31" t="s">
        <v>65</v>
      </c>
      <c r="N29" s="31" t="s">
        <v>65</v>
      </c>
      <c r="O29" s="31"/>
      <c r="P29" s="31"/>
      <c r="Q29" s="32"/>
      <c r="R29" s="33" t="str">
        <f>IF($O29="","",Resumen!$B$5)</f>
        <v/>
      </c>
      <c r="S29" s="34" t="str">
        <f>IF($O29="","",Resumen!$B$6)</f>
        <v/>
      </c>
      <c r="T29" s="33" t="str">
        <f t="shared" si="0"/>
        <v>PENDIENTE</v>
      </c>
    </row>
    <row r="30" spans="1:20" ht="72" customHeight="1">
      <c r="A30" s="29" t="s">
        <v>168</v>
      </c>
      <c r="B30" s="29" t="s">
        <v>57</v>
      </c>
      <c r="C30" s="29" t="s">
        <v>169</v>
      </c>
      <c r="D30" s="29"/>
      <c r="E30" s="30" t="s">
        <v>170</v>
      </c>
      <c r="F30" s="30" t="s">
        <v>31</v>
      </c>
      <c r="G30" s="30"/>
      <c r="H30" s="30"/>
      <c r="I30" s="30"/>
      <c r="J30" s="30"/>
      <c r="K30" s="31"/>
      <c r="L30" s="32"/>
      <c r="M30" s="31" t="s">
        <v>65</v>
      </c>
      <c r="N30" s="31" t="s">
        <v>65</v>
      </c>
      <c r="O30" s="31"/>
      <c r="P30" s="31"/>
      <c r="Q30" s="32"/>
      <c r="R30" s="33" t="str">
        <f>IF($O30="","",Resumen!$B$5)</f>
        <v/>
      </c>
      <c r="S30" s="34" t="str">
        <f>IF($O30="","",Resumen!$B$6)</f>
        <v/>
      </c>
      <c r="T30" s="33" t="str">
        <f t="shared" si="0"/>
        <v>PENDIENTE</v>
      </c>
    </row>
    <row r="31" spans="1:20" ht="72" customHeight="1">
      <c r="A31" s="29" t="s">
        <v>171</v>
      </c>
      <c r="B31" s="29" t="s">
        <v>57</v>
      </c>
      <c r="C31" s="29" t="s">
        <v>169</v>
      </c>
      <c r="D31" s="29"/>
      <c r="E31" s="30" t="s">
        <v>172</v>
      </c>
      <c r="F31" s="30" t="s">
        <v>31</v>
      </c>
      <c r="G31" s="30"/>
      <c r="H31" s="30"/>
      <c r="I31" s="30"/>
      <c r="J31" s="30"/>
      <c r="K31" s="31"/>
      <c r="L31" s="32"/>
      <c r="M31" s="31" t="s">
        <v>65</v>
      </c>
      <c r="N31" s="31" t="s">
        <v>65</v>
      </c>
      <c r="O31" s="31"/>
      <c r="P31" s="31"/>
      <c r="Q31" s="32"/>
      <c r="R31" s="33" t="str">
        <f>IF($O31="","",Resumen!$B$5)</f>
        <v/>
      </c>
      <c r="S31" s="34" t="str">
        <f>IF($O31="","",Resumen!$B$6)</f>
        <v/>
      </c>
      <c r="T31" s="33" t="str">
        <f t="shared" si="0"/>
        <v>PENDIENTE</v>
      </c>
    </row>
    <row r="32" spans="1:20" ht="72" customHeight="1">
      <c r="A32" s="29" t="s">
        <v>173</v>
      </c>
      <c r="B32" s="29" t="s">
        <v>57</v>
      </c>
      <c r="C32" s="29" t="s">
        <v>169</v>
      </c>
      <c r="D32" s="29"/>
      <c r="E32" s="30" t="s">
        <v>174</v>
      </c>
      <c r="F32" s="30" t="s">
        <v>31</v>
      </c>
      <c r="G32" s="30"/>
      <c r="H32" s="30"/>
      <c r="I32" s="30"/>
      <c r="J32" s="30"/>
      <c r="K32" s="31"/>
      <c r="L32" s="32"/>
      <c r="M32" s="31" t="s">
        <v>65</v>
      </c>
      <c r="N32" s="31" t="s">
        <v>65</v>
      </c>
      <c r="O32" s="31"/>
      <c r="P32" s="31"/>
      <c r="Q32" s="32"/>
      <c r="R32" s="33" t="str">
        <f>IF($O32="","",Resumen!$B$5)</f>
        <v/>
      </c>
      <c r="S32" s="34" t="str">
        <f>IF($O32="","",Resumen!$B$6)</f>
        <v/>
      </c>
      <c r="T32" s="33" t="str">
        <f t="shared" si="0"/>
        <v>PENDIENTE</v>
      </c>
    </row>
    <row r="33" spans="1:20" ht="72" customHeight="1">
      <c r="A33" s="29" t="s">
        <v>175</v>
      </c>
      <c r="B33" s="29" t="s">
        <v>57</v>
      </c>
      <c r="C33" s="29" t="s">
        <v>169</v>
      </c>
      <c r="D33" s="29"/>
      <c r="E33" s="30" t="s">
        <v>176</v>
      </c>
      <c r="F33" s="30" t="s">
        <v>31</v>
      </c>
      <c r="G33" s="30"/>
      <c r="H33" s="30"/>
      <c r="I33" s="30"/>
      <c r="J33" s="30"/>
      <c r="K33" s="31"/>
      <c r="L33" s="32"/>
      <c r="M33" s="31" t="s">
        <v>65</v>
      </c>
      <c r="N33" s="31" t="s">
        <v>65</v>
      </c>
      <c r="O33" s="31"/>
      <c r="P33" s="31"/>
      <c r="Q33" s="32"/>
      <c r="R33" s="33" t="str">
        <f>IF($O33="","",Resumen!$B$5)</f>
        <v/>
      </c>
      <c r="S33" s="34" t="str">
        <f>IF($O33="","",Resumen!$B$6)</f>
        <v/>
      </c>
      <c r="T33" s="33" t="str">
        <f t="shared" si="0"/>
        <v>PENDIENTE</v>
      </c>
    </row>
    <row r="34" spans="1:20" ht="72" customHeight="1">
      <c r="A34" s="29" t="s">
        <v>177</v>
      </c>
      <c r="B34" s="29" t="s">
        <v>57</v>
      </c>
      <c r="C34" s="29" t="s">
        <v>169</v>
      </c>
      <c r="D34" s="29"/>
      <c r="E34" s="30" t="s">
        <v>178</v>
      </c>
      <c r="F34" s="30" t="s">
        <v>31</v>
      </c>
      <c r="G34" s="30"/>
      <c r="H34" s="30"/>
      <c r="I34" s="30"/>
      <c r="J34" s="30"/>
      <c r="K34" s="31"/>
      <c r="L34" s="32"/>
      <c r="M34" s="31" t="s">
        <v>65</v>
      </c>
      <c r="N34" s="31" t="s">
        <v>65</v>
      </c>
      <c r="O34" s="31"/>
      <c r="P34" s="31"/>
      <c r="Q34" s="32"/>
      <c r="R34" s="33" t="str">
        <f>IF($O34="","",Resumen!$B$5)</f>
        <v/>
      </c>
      <c r="S34" s="34" t="str">
        <f>IF($O34="","",Resumen!$B$6)</f>
        <v/>
      </c>
      <c r="T34" s="33" t="str">
        <f t="shared" si="0"/>
        <v>PENDIENTE</v>
      </c>
    </row>
    <row r="35" spans="1:20" ht="72" customHeight="1">
      <c r="A35" s="29" t="s">
        <v>179</v>
      </c>
      <c r="B35" s="29" t="s">
        <v>57</v>
      </c>
      <c r="C35" s="29" t="s">
        <v>169</v>
      </c>
      <c r="D35" s="29"/>
      <c r="E35" s="30" t="s">
        <v>180</v>
      </c>
      <c r="F35" s="30" t="s">
        <v>31</v>
      </c>
      <c r="G35" s="30"/>
      <c r="H35" s="30"/>
      <c r="I35" s="30"/>
      <c r="J35" s="30"/>
      <c r="K35" s="31"/>
      <c r="L35" s="32"/>
      <c r="M35" s="31" t="s">
        <v>65</v>
      </c>
      <c r="N35" s="31" t="s">
        <v>65</v>
      </c>
      <c r="O35" s="31"/>
      <c r="P35" s="31"/>
      <c r="Q35" s="32"/>
      <c r="R35" s="33" t="str">
        <f>IF($O35="","",Resumen!$B$5)</f>
        <v/>
      </c>
      <c r="S35" s="34" t="str">
        <f>IF($O35="","",Resumen!$B$6)</f>
        <v/>
      </c>
      <c r="T35" s="33" t="str">
        <f t="shared" si="0"/>
        <v>PENDIENTE</v>
      </c>
    </row>
    <row r="36" spans="1:20" ht="72" customHeight="1">
      <c r="A36" s="29" t="s">
        <v>181</v>
      </c>
      <c r="B36" s="29" t="s">
        <v>182</v>
      </c>
      <c r="C36" s="29" t="s">
        <v>58</v>
      </c>
      <c r="D36" s="29" t="s">
        <v>59</v>
      </c>
      <c r="E36" s="30" t="s">
        <v>183</v>
      </c>
      <c r="F36" s="30" t="s">
        <v>30</v>
      </c>
      <c r="G36" s="30" t="s">
        <v>184</v>
      </c>
      <c r="H36" s="30" t="s">
        <v>185</v>
      </c>
      <c r="I36" s="30" t="s">
        <v>186</v>
      </c>
      <c r="J36" s="30" t="s">
        <v>187</v>
      </c>
      <c r="K36" s="31"/>
      <c r="L36" s="32"/>
      <c r="M36" s="31" t="s">
        <v>65</v>
      </c>
      <c r="N36" s="31" t="s">
        <v>65</v>
      </c>
      <c r="O36" s="31"/>
      <c r="P36" s="31"/>
      <c r="Q36" s="32"/>
      <c r="R36" s="33" t="str">
        <f>IF($O36="","",Resumen!$B$5)</f>
        <v/>
      </c>
      <c r="S36" s="34" t="str">
        <f>IF($O36="","",Resumen!$B$6)</f>
        <v/>
      </c>
      <c r="T36" s="33" t="str">
        <f t="shared" si="0"/>
        <v>PENDIENTE</v>
      </c>
    </row>
    <row r="37" spans="1:20" ht="72" customHeight="1">
      <c r="A37" s="29" t="s">
        <v>188</v>
      </c>
      <c r="B37" s="29" t="s">
        <v>182</v>
      </c>
      <c r="C37" s="29" t="s">
        <v>58</v>
      </c>
      <c r="D37" s="29" t="s">
        <v>59</v>
      </c>
      <c r="E37" s="30" t="s">
        <v>189</v>
      </c>
      <c r="F37" s="30" t="s">
        <v>30</v>
      </c>
      <c r="G37" s="30" t="s">
        <v>190</v>
      </c>
      <c r="H37" s="30" t="s">
        <v>191</v>
      </c>
      <c r="I37" s="30" t="s">
        <v>149</v>
      </c>
      <c r="J37" s="30" t="s">
        <v>192</v>
      </c>
      <c r="K37" s="31"/>
      <c r="L37" s="32"/>
      <c r="M37" s="31" t="s">
        <v>65</v>
      </c>
      <c r="N37" s="31" t="s">
        <v>65</v>
      </c>
      <c r="O37" s="31"/>
      <c r="P37" s="31"/>
      <c r="Q37" s="32"/>
      <c r="R37" s="33" t="str">
        <f>IF($O37="","",Resumen!$B$5)</f>
        <v/>
      </c>
      <c r="S37" s="34" t="str">
        <f>IF($O37="","",Resumen!$B$6)</f>
        <v/>
      </c>
      <c r="T37" s="33" t="str">
        <f t="shared" si="0"/>
        <v>PENDIENTE</v>
      </c>
    </row>
    <row r="38" spans="1:20" ht="72" customHeight="1">
      <c r="A38" s="29" t="s">
        <v>193</v>
      </c>
      <c r="B38" s="29" t="s">
        <v>182</v>
      </c>
      <c r="C38" s="29" t="s">
        <v>58</v>
      </c>
      <c r="D38" s="29"/>
      <c r="E38" s="30" t="s">
        <v>194</v>
      </c>
      <c r="F38" s="30" t="s">
        <v>30</v>
      </c>
      <c r="G38" s="30" t="s">
        <v>195</v>
      </c>
      <c r="H38" s="30" t="s">
        <v>196</v>
      </c>
      <c r="I38" s="30" t="s">
        <v>197</v>
      </c>
      <c r="J38" s="30" t="s">
        <v>198</v>
      </c>
      <c r="K38" s="31"/>
      <c r="L38" s="32"/>
      <c r="M38" s="31" t="s">
        <v>65</v>
      </c>
      <c r="N38" s="31" t="s">
        <v>65</v>
      </c>
      <c r="O38" s="31"/>
      <c r="P38" s="31"/>
      <c r="Q38" s="32"/>
      <c r="R38" s="33" t="str">
        <f>IF($O38="","",Resumen!$B$5)</f>
        <v/>
      </c>
      <c r="S38" s="34" t="str">
        <f>IF($O38="","",Resumen!$B$6)</f>
        <v/>
      </c>
      <c r="T38" s="33" t="str">
        <f t="shared" ref="T38:T65" si="1">IF($O38="","PENDIENTE",IF($O38="PASS","REVISADO - PASS",IF($O38="FAIL","REVISADO - FAIL","REQUIERE REVISIÓN")))</f>
        <v>PENDIENTE</v>
      </c>
    </row>
    <row r="39" spans="1:20" ht="72" customHeight="1">
      <c r="A39" s="29" t="s">
        <v>199</v>
      </c>
      <c r="B39" s="29" t="s">
        <v>182</v>
      </c>
      <c r="C39" s="29" t="s">
        <v>58</v>
      </c>
      <c r="D39" s="29"/>
      <c r="E39" s="30" t="s">
        <v>200</v>
      </c>
      <c r="F39" s="30" t="s">
        <v>30</v>
      </c>
      <c r="G39" s="30" t="s">
        <v>201</v>
      </c>
      <c r="H39" s="30" t="s">
        <v>202</v>
      </c>
      <c r="I39" s="30" t="s">
        <v>197</v>
      </c>
      <c r="J39" s="30" t="s">
        <v>203</v>
      </c>
      <c r="K39" s="31"/>
      <c r="L39" s="32"/>
      <c r="M39" s="31" t="s">
        <v>65</v>
      </c>
      <c r="N39" s="31" t="s">
        <v>65</v>
      </c>
      <c r="O39" s="31"/>
      <c r="P39" s="31"/>
      <c r="Q39" s="32"/>
      <c r="R39" s="33" t="str">
        <f>IF($O39="","",Resumen!$B$5)</f>
        <v/>
      </c>
      <c r="S39" s="34" t="str">
        <f>IF($O39="","",Resumen!$B$6)</f>
        <v/>
      </c>
      <c r="T39" s="33" t="str">
        <f t="shared" si="1"/>
        <v>PENDIENTE</v>
      </c>
    </row>
    <row r="40" spans="1:20" ht="72" customHeight="1">
      <c r="A40" s="29" t="s">
        <v>204</v>
      </c>
      <c r="B40" s="29" t="s">
        <v>182</v>
      </c>
      <c r="C40" s="29" t="s">
        <v>58</v>
      </c>
      <c r="D40" s="29"/>
      <c r="E40" s="30" t="s">
        <v>205</v>
      </c>
      <c r="F40" s="30" t="s">
        <v>30</v>
      </c>
      <c r="G40" s="30" t="s">
        <v>206</v>
      </c>
      <c r="H40" s="30" t="s">
        <v>207</v>
      </c>
      <c r="I40" s="30" t="s">
        <v>208</v>
      </c>
      <c r="J40" s="30" t="s">
        <v>209</v>
      </c>
      <c r="K40" s="31"/>
      <c r="L40" s="32"/>
      <c r="M40" s="31" t="s">
        <v>65</v>
      </c>
      <c r="N40" s="31" t="s">
        <v>65</v>
      </c>
      <c r="O40" s="31"/>
      <c r="P40" s="31"/>
      <c r="Q40" s="32"/>
      <c r="R40" s="33" t="str">
        <f>IF($O40="","",Resumen!$B$5)</f>
        <v/>
      </c>
      <c r="S40" s="34" t="str">
        <f>IF($O40="","",Resumen!$B$6)</f>
        <v/>
      </c>
      <c r="T40" s="33" t="str">
        <f t="shared" si="1"/>
        <v>PENDIENTE</v>
      </c>
    </row>
    <row r="41" spans="1:20" ht="72" customHeight="1">
      <c r="A41" s="29" t="s">
        <v>210</v>
      </c>
      <c r="B41" s="29" t="s">
        <v>182</v>
      </c>
      <c r="C41" s="29" t="s">
        <v>58</v>
      </c>
      <c r="D41" s="29"/>
      <c r="E41" s="30" t="s">
        <v>211</v>
      </c>
      <c r="F41" s="30" t="s">
        <v>30</v>
      </c>
      <c r="G41" s="30" t="s">
        <v>212</v>
      </c>
      <c r="H41" s="30" t="s">
        <v>213</v>
      </c>
      <c r="I41" s="30" t="s">
        <v>117</v>
      </c>
      <c r="J41" s="30" t="s">
        <v>214</v>
      </c>
      <c r="K41" s="31"/>
      <c r="L41" s="32"/>
      <c r="M41" s="31" t="s">
        <v>65</v>
      </c>
      <c r="N41" s="31" t="s">
        <v>65</v>
      </c>
      <c r="O41" s="31"/>
      <c r="P41" s="31"/>
      <c r="Q41" s="32"/>
      <c r="R41" s="33" t="str">
        <f>IF($O41="","",Resumen!$B$5)</f>
        <v/>
      </c>
      <c r="S41" s="34" t="str">
        <f>IF($O41="","",Resumen!$B$6)</f>
        <v/>
      </c>
      <c r="T41" s="33" t="str">
        <f t="shared" si="1"/>
        <v>PENDIENTE</v>
      </c>
    </row>
    <row r="42" spans="1:20" ht="72" customHeight="1">
      <c r="A42" s="29" t="s">
        <v>215</v>
      </c>
      <c r="B42" s="29" t="s">
        <v>182</v>
      </c>
      <c r="C42" s="29" t="s">
        <v>58</v>
      </c>
      <c r="D42" s="29"/>
      <c r="E42" s="30" t="s">
        <v>216</v>
      </c>
      <c r="F42" s="30" t="s">
        <v>30</v>
      </c>
      <c r="G42" s="30" t="s">
        <v>217</v>
      </c>
      <c r="H42" s="30" t="s">
        <v>218</v>
      </c>
      <c r="I42" s="30" t="s">
        <v>219</v>
      </c>
      <c r="J42" s="30" t="s">
        <v>220</v>
      </c>
      <c r="K42" s="31"/>
      <c r="L42" s="32"/>
      <c r="M42" s="31" t="s">
        <v>65</v>
      </c>
      <c r="N42" s="31" t="s">
        <v>65</v>
      </c>
      <c r="O42" s="31"/>
      <c r="P42" s="31"/>
      <c r="Q42" s="32"/>
      <c r="R42" s="33" t="str">
        <f>IF($O42="","",Resumen!$B$5)</f>
        <v/>
      </c>
      <c r="S42" s="34" t="str">
        <f>IF($O42="","",Resumen!$B$6)</f>
        <v/>
      </c>
      <c r="T42" s="33" t="str">
        <f t="shared" si="1"/>
        <v>PENDIENTE</v>
      </c>
    </row>
    <row r="43" spans="1:20" ht="72" customHeight="1">
      <c r="A43" s="29" t="s">
        <v>221</v>
      </c>
      <c r="B43" s="29" t="s">
        <v>182</v>
      </c>
      <c r="C43" s="29" t="s">
        <v>58</v>
      </c>
      <c r="D43" s="29"/>
      <c r="E43" s="30" t="s">
        <v>222</v>
      </c>
      <c r="F43" s="30" t="s">
        <v>30</v>
      </c>
      <c r="G43" s="30" t="s">
        <v>223</v>
      </c>
      <c r="H43" s="30" t="s">
        <v>224</v>
      </c>
      <c r="I43" s="30" t="s">
        <v>219</v>
      </c>
      <c r="J43" s="30" t="s">
        <v>225</v>
      </c>
      <c r="K43" s="31"/>
      <c r="L43" s="32"/>
      <c r="M43" s="31" t="s">
        <v>65</v>
      </c>
      <c r="N43" s="31" t="s">
        <v>65</v>
      </c>
      <c r="O43" s="31"/>
      <c r="P43" s="31"/>
      <c r="Q43" s="32"/>
      <c r="R43" s="33" t="str">
        <f>IF($O43="","",Resumen!$B$5)</f>
        <v/>
      </c>
      <c r="S43" s="34" t="str">
        <f>IF($O43="","",Resumen!$B$6)</f>
        <v/>
      </c>
      <c r="T43" s="33" t="str">
        <f t="shared" si="1"/>
        <v>PENDIENTE</v>
      </c>
    </row>
    <row r="44" spans="1:20" ht="72" customHeight="1">
      <c r="A44" s="29" t="s">
        <v>226</v>
      </c>
      <c r="B44" s="29" t="s">
        <v>182</v>
      </c>
      <c r="C44" s="29" t="s">
        <v>58</v>
      </c>
      <c r="D44" s="29"/>
      <c r="E44" s="30" t="s">
        <v>227</v>
      </c>
      <c r="F44" s="30" t="s">
        <v>30</v>
      </c>
      <c r="G44" s="30" t="s">
        <v>228</v>
      </c>
      <c r="H44" s="30" t="s">
        <v>229</v>
      </c>
      <c r="I44" s="30" t="s">
        <v>230</v>
      </c>
      <c r="J44" s="30" t="s">
        <v>231</v>
      </c>
      <c r="K44" s="31"/>
      <c r="L44" s="32"/>
      <c r="M44" s="31" t="s">
        <v>65</v>
      </c>
      <c r="N44" s="31" t="s">
        <v>65</v>
      </c>
      <c r="O44" s="31"/>
      <c r="P44" s="31"/>
      <c r="Q44" s="32"/>
      <c r="R44" s="33" t="str">
        <f>IF($O44="","",Resumen!$B$5)</f>
        <v/>
      </c>
      <c r="S44" s="34" t="str">
        <f>IF($O44="","",Resumen!$B$6)</f>
        <v/>
      </c>
      <c r="T44" s="33" t="str">
        <f t="shared" si="1"/>
        <v>PENDIENTE</v>
      </c>
    </row>
    <row r="45" spans="1:20" ht="72" customHeight="1">
      <c r="A45" s="29" t="s">
        <v>232</v>
      </c>
      <c r="B45" s="29" t="s">
        <v>182</v>
      </c>
      <c r="C45" s="29" t="s">
        <v>58</v>
      </c>
      <c r="D45" s="29"/>
      <c r="E45" s="30" t="s">
        <v>233</v>
      </c>
      <c r="F45" s="30" t="s">
        <v>30</v>
      </c>
      <c r="G45" s="30" t="s">
        <v>234</v>
      </c>
      <c r="H45" s="30" t="s">
        <v>235</v>
      </c>
      <c r="I45" s="30" t="s">
        <v>230</v>
      </c>
      <c r="J45" s="30" t="s">
        <v>231</v>
      </c>
      <c r="K45" s="31"/>
      <c r="L45" s="32"/>
      <c r="M45" s="31" t="s">
        <v>65</v>
      </c>
      <c r="N45" s="31" t="s">
        <v>65</v>
      </c>
      <c r="O45" s="31"/>
      <c r="P45" s="31"/>
      <c r="Q45" s="32"/>
      <c r="R45" s="33" t="str">
        <f>IF($O45="","",Resumen!$B$5)</f>
        <v/>
      </c>
      <c r="S45" s="34" t="str">
        <f>IF($O45="","",Resumen!$B$6)</f>
        <v/>
      </c>
      <c r="T45" s="33" t="str">
        <f t="shared" si="1"/>
        <v>PENDIENTE</v>
      </c>
    </row>
    <row r="46" spans="1:20" ht="72" customHeight="1">
      <c r="A46" s="29" t="s">
        <v>236</v>
      </c>
      <c r="B46" s="29" t="s">
        <v>182</v>
      </c>
      <c r="C46" s="29" t="s">
        <v>58</v>
      </c>
      <c r="D46" s="29" t="s">
        <v>59</v>
      </c>
      <c r="E46" s="30" t="s">
        <v>237</v>
      </c>
      <c r="F46" s="30" t="s">
        <v>30</v>
      </c>
      <c r="G46" s="30" t="s">
        <v>238</v>
      </c>
      <c r="H46" s="30" t="s">
        <v>239</v>
      </c>
      <c r="I46" s="30" t="s">
        <v>149</v>
      </c>
      <c r="J46" s="30" t="s">
        <v>240</v>
      </c>
      <c r="K46" s="31"/>
      <c r="L46" s="32"/>
      <c r="M46" s="31" t="s">
        <v>65</v>
      </c>
      <c r="N46" s="31" t="s">
        <v>65</v>
      </c>
      <c r="O46" s="31"/>
      <c r="P46" s="31"/>
      <c r="Q46" s="32"/>
      <c r="R46" s="33" t="str">
        <f>IF($O46="","",Resumen!$B$5)</f>
        <v/>
      </c>
      <c r="S46" s="34" t="str">
        <f>IF($O46="","",Resumen!$B$6)</f>
        <v/>
      </c>
      <c r="T46" s="33" t="str">
        <f t="shared" si="1"/>
        <v>PENDIENTE</v>
      </c>
    </row>
    <row r="47" spans="1:20" ht="72" customHeight="1">
      <c r="A47" s="29" t="s">
        <v>241</v>
      </c>
      <c r="B47" s="29" t="s">
        <v>182</v>
      </c>
      <c r="C47" s="29" t="s">
        <v>58</v>
      </c>
      <c r="D47" s="29" t="s">
        <v>59</v>
      </c>
      <c r="E47" s="30" t="s">
        <v>242</v>
      </c>
      <c r="F47" s="30" t="s">
        <v>30</v>
      </c>
      <c r="G47" s="30" t="s">
        <v>243</v>
      </c>
      <c r="H47" s="30" t="s">
        <v>244</v>
      </c>
      <c r="I47" s="30" t="s">
        <v>245</v>
      </c>
      <c r="J47" s="30" t="s">
        <v>246</v>
      </c>
      <c r="K47" s="31"/>
      <c r="L47" s="32"/>
      <c r="M47" s="31" t="s">
        <v>65</v>
      </c>
      <c r="N47" s="31" t="s">
        <v>65</v>
      </c>
      <c r="O47" s="31"/>
      <c r="P47" s="31"/>
      <c r="Q47" s="32"/>
      <c r="R47" s="33" t="str">
        <f>IF($O47="","",Resumen!$B$5)</f>
        <v/>
      </c>
      <c r="S47" s="34" t="str">
        <f>IF($O47="","",Resumen!$B$6)</f>
        <v/>
      </c>
      <c r="T47" s="33" t="str">
        <f t="shared" si="1"/>
        <v>PENDIENTE</v>
      </c>
    </row>
    <row r="48" spans="1:20" ht="72" customHeight="1">
      <c r="A48" s="29" t="s">
        <v>247</v>
      </c>
      <c r="B48" s="29" t="s">
        <v>182</v>
      </c>
      <c r="C48" s="29" t="s">
        <v>58</v>
      </c>
      <c r="D48" s="29" t="s">
        <v>59</v>
      </c>
      <c r="E48" s="30" t="s">
        <v>248</v>
      </c>
      <c r="F48" s="30" t="s">
        <v>30</v>
      </c>
      <c r="G48" s="30" t="s">
        <v>249</v>
      </c>
      <c r="H48" s="30" t="s">
        <v>250</v>
      </c>
      <c r="I48" s="30" t="s">
        <v>251</v>
      </c>
      <c r="J48" s="30" t="s">
        <v>252</v>
      </c>
      <c r="K48" s="31"/>
      <c r="L48" s="32"/>
      <c r="M48" s="31" t="s">
        <v>65</v>
      </c>
      <c r="N48" s="31" t="s">
        <v>65</v>
      </c>
      <c r="O48" s="31"/>
      <c r="P48" s="31"/>
      <c r="Q48" s="32"/>
      <c r="R48" s="33" t="str">
        <f>IF($O48="","",Resumen!$B$5)</f>
        <v/>
      </c>
      <c r="S48" s="34" t="str">
        <f>IF($O48="","",Resumen!$B$6)</f>
        <v/>
      </c>
      <c r="T48" s="33" t="str">
        <f t="shared" si="1"/>
        <v>PENDIENTE</v>
      </c>
    </row>
    <row r="49" spans="1:20" ht="72" customHeight="1">
      <c r="A49" s="29" t="s">
        <v>253</v>
      </c>
      <c r="B49" s="29" t="s">
        <v>182</v>
      </c>
      <c r="C49" s="29" t="s">
        <v>58</v>
      </c>
      <c r="D49" s="29" t="s">
        <v>59</v>
      </c>
      <c r="E49" s="30" t="s">
        <v>254</v>
      </c>
      <c r="F49" s="30" t="s">
        <v>30</v>
      </c>
      <c r="G49" s="30" t="s">
        <v>255</v>
      </c>
      <c r="H49" s="30" t="s">
        <v>256</v>
      </c>
      <c r="I49" s="30" t="s">
        <v>251</v>
      </c>
      <c r="J49" s="30" t="s">
        <v>252</v>
      </c>
      <c r="K49" s="31"/>
      <c r="L49" s="32"/>
      <c r="M49" s="31" t="s">
        <v>65</v>
      </c>
      <c r="N49" s="31" t="s">
        <v>65</v>
      </c>
      <c r="O49" s="31"/>
      <c r="P49" s="31"/>
      <c r="Q49" s="32"/>
      <c r="R49" s="33" t="str">
        <f>IF($O49="","",Resumen!$B$5)</f>
        <v/>
      </c>
      <c r="S49" s="34" t="str">
        <f>IF($O49="","",Resumen!$B$6)</f>
        <v/>
      </c>
      <c r="T49" s="33" t="str">
        <f t="shared" si="1"/>
        <v>PENDIENTE</v>
      </c>
    </row>
    <row r="50" spans="1:20" ht="72" customHeight="1">
      <c r="A50" s="29" t="s">
        <v>257</v>
      </c>
      <c r="B50" s="29" t="s">
        <v>182</v>
      </c>
      <c r="C50" s="29" t="s">
        <v>58</v>
      </c>
      <c r="D50" s="29" t="s">
        <v>59</v>
      </c>
      <c r="E50" s="30" t="s">
        <v>258</v>
      </c>
      <c r="F50" s="30" t="s">
        <v>30</v>
      </c>
      <c r="G50" s="30" t="s">
        <v>259</v>
      </c>
      <c r="H50" s="30" t="s">
        <v>260</v>
      </c>
      <c r="I50" s="30" t="s">
        <v>261</v>
      </c>
      <c r="J50" s="30" t="s">
        <v>262</v>
      </c>
      <c r="K50" s="31"/>
      <c r="L50" s="32"/>
      <c r="M50" s="31" t="s">
        <v>65</v>
      </c>
      <c r="N50" s="31" t="s">
        <v>65</v>
      </c>
      <c r="O50" s="31"/>
      <c r="P50" s="31"/>
      <c r="Q50" s="32"/>
      <c r="R50" s="33" t="str">
        <f>IF($O50="","",Resumen!$B$5)</f>
        <v/>
      </c>
      <c r="S50" s="34" t="str">
        <f>IF($O50="","",Resumen!$B$6)</f>
        <v/>
      </c>
      <c r="T50" s="33" t="str">
        <f t="shared" si="1"/>
        <v>PENDIENTE</v>
      </c>
    </row>
    <row r="51" spans="1:20" ht="72" customHeight="1">
      <c r="A51" s="29" t="s">
        <v>263</v>
      </c>
      <c r="B51" s="29" t="s">
        <v>182</v>
      </c>
      <c r="C51" s="29" t="s">
        <v>58</v>
      </c>
      <c r="D51" s="29" t="s">
        <v>59</v>
      </c>
      <c r="E51" s="30" t="s">
        <v>264</v>
      </c>
      <c r="F51" s="30" t="s">
        <v>30</v>
      </c>
      <c r="G51" s="30" t="s">
        <v>265</v>
      </c>
      <c r="H51" s="30" t="s">
        <v>266</v>
      </c>
      <c r="I51" s="30" t="s">
        <v>261</v>
      </c>
      <c r="J51" s="30" t="s">
        <v>267</v>
      </c>
      <c r="K51" s="31"/>
      <c r="L51" s="32"/>
      <c r="M51" s="31" t="s">
        <v>65</v>
      </c>
      <c r="N51" s="31" t="s">
        <v>65</v>
      </c>
      <c r="O51" s="31"/>
      <c r="P51" s="31"/>
      <c r="Q51" s="32"/>
      <c r="R51" s="33" t="str">
        <f>IF($O51="","",Resumen!$B$5)</f>
        <v/>
      </c>
      <c r="S51" s="34" t="str">
        <f>IF($O51="","",Resumen!$B$6)</f>
        <v/>
      </c>
      <c r="T51" s="33" t="str">
        <f t="shared" si="1"/>
        <v>PENDIENTE</v>
      </c>
    </row>
    <row r="52" spans="1:20" ht="72" customHeight="1">
      <c r="A52" s="29" t="s">
        <v>268</v>
      </c>
      <c r="B52" s="29" t="s">
        <v>182</v>
      </c>
      <c r="C52" s="29" t="s">
        <v>58</v>
      </c>
      <c r="D52" s="29" t="s">
        <v>81</v>
      </c>
      <c r="E52" s="30" t="s">
        <v>269</v>
      </c>
      <c r="F52" s="30" t="s">
        <v>30</v>
      </c>
      <c r="G52" s="30" t="s">
        <v>270</v>
      </c>
      <c r="H52" s="30" t="s">
        <v>271</v>
      </c>
      <c r="I52" s="30" t="s">
        <v>272</v>
      </c>
      <c r="J52" s="30" t="s">
        <v>273</v>
      </c>
      <c r="K52" s="31"/>
      <c r="L52" s="32"/>
      <c r="M52" s="31" t="s">
        <v>65</v>
      </c>
      <c r="N52" s="31" t="s">
        <v>65</v>
      </c>
      <c r="O52" s="31"/>
      <c r="P52" s="31"/>
      <c r="Q52" s="32"/>
      <c r="R52" s="33" t="str">
        <f>IF($O52="","",Resumen!$B$5)</f>
        <v/>
      </c>
      <c r="S52" s="34" t="str">
        <f>IF($O52="","",Resumen!$B$6)</f>
        <v/>
      </c>
      <c r="T52" s="33" t="str">
        <f t="shared" si="1"/>
        <v>PENDIENTE</v>
      </c>
    </row>
    <row r="53" spans="1:20" ht="72" customHeight="1">
      <c r="A53" s="29" t="s">
        <v>274</v>
      </c>
      <c r="B53" s="29" t="s">
        <v>182</v>
      </c>
      <c r="C53" s="29" t="s">
        <v>58</v>
      </c>
      <c r="D53" s="29" t="s">
        <v>81</v>
      </c>
      <c r="E53" s="30" t="s">
        <v>275</v>
      </c>
      <c r="F53" s="30" t="s">
        <v>30</v>
      </c>
      <c r="G53" s="30" t="s">
        <v>276</v>
      </c>
      <c r="H53" s="30" t="s">
        <v>277</v>
      </c>
      <c r="I53" s="30" t="s">
        <v>272</v>
      </c>
      <c r="J53" s="30" t="s">
        <v>273</v>
      </c>
      <c r="K53" s="31"/>
      <c r="L53" s="32"/>
      <c r="M53" s="31" t="s">
        <v>65</v>
      </c>
      <c r="N53" s="31" t="s">
        <v>65</v>
      </c>
      <c r="O53" s="31"/>
      <c r="P53" s="31"/>
      <c r="Q53" s="32"/>
      <c r="R53" s="33" t="str">
        <f>IF($O53="","",Resumen!$B$5)</f>
        <v/>
      </c>
      <c r="S53" s="34" t="str">
        <f>IF($O53="","",Resumen!$B$6)</f>
        <v/>
      </c>
      <c r="T53" s="33" t="str">
        <f t="shared" si="1"/>
        <v>PENDIENTE</v>
      </c>
    </row>
    <row r="54" spans="1:20" ht="72" customHeight="1">
      <c r="A54" s="29" t="s">
        <v>278</v>
      </c>
      <c r="B54" s="29" t="s">
        <v>182</v>
      </c>
      <c r="C54" s="29" t="s">
        <v>156</v>
      </c>
      <c r="D54" s="29" t="s">
        <v>59</v>
      </c>
      <c r="E54" s="30" t="s">
        <v>279</v>
      </c>
      <c r="F54" s="30" t="s">
        <v>32</v>
      </c>
      <c r="G54" s="30"/>
      <c r="H54" s="30"/>
      <c r="I54" s="30"/>
      <c r="J54" s="30"/>
      <c r="K54" s="31"/>
      <c r="L54" s="32"/>
      <c r="M54" s="31" t="s">
        <v>65</v>
      </c>
      <c r="N54" s="31" t="s">
        <v>65</v>
      </c>
      <c r="O54" s="31"/>
      <c r="P54" s="31"/>
      <c r="Q54" s="32"/>
      <c r="R54" s="33" t="str">
        <f>IF($O54="","",Resumen!$B$5)</f>
        <v/>
      </c>
      <c r="S54" s="34" t="str">
        <f>IF($O54="","",Resumen!$B$6)</f>
        <v/>
      </c>
      <c r="T54" s="33" t="str">
        <f t="shared" si="1"/>
        <v>PENDIENTE</v>
      </c>
    </row>
    <row r="55" spans="1:20" ht="72" customHeight="1">
      <c r="A55" s="29" t="s">
        <v>280</v>
      </c>
      <c r="B55" s="29" t="s">
        <v>182</v>
      </c>
      <c r="C55" s="29" t="s">
        <v>156</v>
      </c>
      <c r="D55" s="29" t="s">
        <v>81</v>
      </c>
      <c r="E55" s="30" t="s">
        <v>281</v>
      </c>
      <c r="F55" s="30" t="s">
        <v>32</v>
      </c>
      <c r="G55" s="30"/>
      <c r="H55" s="30"/>
      <c r="I55" s="30"/>
      <c r="J55" s="30"/>
      <c r="K55" s="31"/>
      <c r="L55" s="32"/>
      <c r="M55" s="31" t="s">
        <v>65</v>
      </c>
      <c r="N55" s="31" t="s">
        <v>65</v>
      </c>
      <c r="O55" s="31"/>
      <c r="P55" s="31"/>
      <c r="Q55" s="32"/>
      <c r="R55" s="33" t="str">
        <f>IF($O55="","",Resumen!$B$5)</f>
        <v/>
      </c>
      <c r="S55" s="34" t="str">
        <f>IF($O55="","",Resumen!$B$6)</f>
        <v/>
      </c>
      <c r="T55" s="33" t="str">
        <f t="shared" si="1"/>
        <v>PENDIENTE</v>
      </c>
    </row>
    <row r="56" spans="1:20" ht="72" customHeight="1">
      <c r="A56" s="29" t="s">
        <v>282</v>
      </c>
      <c r="B56" s="29" t="s">
        <v>182</v>
      </c>
      <c r="C56" s="29" t="s">
        <v>156</v>
      </c>
      <c r="D56" s="29" t="s">
        <v>81</v>
      </c>
      <c r="E56" s="30" t="s">
        <v>283</v>
      </c>
      <c r="F56" s="30" t="s">
        <v>32</v>
      </c>
      <c r="G56" s="30"/>
      <c r="H56" s="30"/>
      <c r="I56" s="30"/>
      <c r="J56" s="30"/>
      <c r="K56" s="31"/>
      <c r="L56" s="32"/>
      <c r="M56" s="31" t="s">
        <v>65</v>
      </c>
      <c r="N56" s="31" t="s">
        <v>65</v>
      </c>
      <c r="O56" s="31"/>
      <c r="P56" s="31"/>
      <c r="Q56" s="32"/>
      <c r="R56" s="33" t="str">
        <f>IF($O56="","",Resumen!$B$5)</f>
        <v/>
      </c>
      <c r="S56" s="34" t="str">
        <f>IF($O56="","",Resumen!$B$6)</f>
        <v/>
      </c>
      <c r="T56" s="33" t="str">
        <f t="shared" si="1"/>
        <v>PENDIENTE</v>
      </c>
    </row>
    <row r="57" spans="1:20" ht="72" customHeight="1">
      <c r="A57" s="29" t="s">
        <v>284</v>
      </c>
      <c r="B57" s="29" t="s">
        <v>182</v>
      </c>
      <c r="C57" s="29" t="s">
        <v>156</v>
      </c>
      <c r="D57" s="29" t="s">
        <v>59</v>
      </c>
      <c r="E57" s="30" t="s">
        <v>285</v>
      </c>
      <c r="F57" s="30" t="s">
        <v>32</v>
      </c>
      <c r="G57" s="30"/>
      <c r="H57" s="30"/>
      <c r="I57" s="30"/>
      <c r="J57" s="30"/>
      <c r="K57" s="31"/>
      <c r="L57" s="32"/>
      <c r="M57" s="31" t="s">
        <v>65</v>
      </c>
      <c r="N57" s="31" t="s">
        <v>65</v>
      </c>
      <c r="O57" s="31"/>
      <c r="P57" s="31"/>
      <c r="Q57" s="32"/>
      <c r="R57" s="33" t="str">
        <f>IF($O57="","",Resumen!$B$5)</f>
        <v/>
      </c>
      <c r="S57" s="34" t="str">
        <f>IF($O57="","",Resumen!$B$6)</f>
        <v/>
      </c>
      <c r="T57" s="33" t="str">
        <f t="shared" si="1"/>
        <v>PENDIENTE</v>
      </c>
    </row>
    <row r="58" spans="1:20" ht="72" customHeight="1">
      <c r="A58" s="29" t="s">
        <v>286</v>
      </c>
      <c r="B58" s="29" t="s">
        <v>182</v>
      </c>
      <c r="C58" s="29" t="s">
        <v>156</v>
      </c>
      <c r="D58" s="29"/>
      <c r="E58" s="30" t="s">
        <v>287</v>
      </c>
      <c r="F58" s="30" t="s">
        <v>32</v>
      </c>
      <c r="G58" s="30"/>
      <c r="H58" s="30"/>
      <c r="I58" s="30"/>
      <c r="J58" s="30"/>
      <c r="K58" s="31"/>
      <c r="L58" s="32"/>
      <c r="M58" s="31" t="s">
        <v>65</v>
      </c>
      <c r="N58" s="31" t="s">
        <v>65</v>
      </c>
      <c r="O58" s="31"/>
      <c r="P58" s="31"/>
      <c r="Q58" s="32"/>
      <c r="R58" s="33" t="str">
        <f>IF($O58="","",Resumen!$B$5)</f>
        <v/>
      </c>
      <c r="S58" s="34" t="str">
        <f>IF($O58="","",Resumen!$B$6)</f>
        <v/>
      </c>
      <c r="T58" s="33" t="str">
        <f t="shared" si="1"/>
        <v>PENDIENTE</v>
      </c>
    </row>
    <row r="59" spans="1:20" ht="72" customHeight="1">
      <c r="A59" s="29" t="s">
        <v>288</v>
      </c>
      <c r="B59" s="29" t="s">
        <v>182</v>
      </c>
      <c r="C59" s="29" t="s">
        <v>156</v>
      </c>
      <c r="D59" s="29"/>
      <c r="E59" s="30" t="s">
        <v>289</v>
      </c>
      <c r="F59" s="30" t="s">
        <v>32</v>
      </c>
      <c r="G59" s="30"/>
      <c r="H59" s="30"/>
      <c r="I59" s="30"/>
      <c r="J59" s="30"/>
      <c r="K59" s="31"/>
      <c r="L59" s="32"/>
      <c r="M59" s="31" t="s">
        <v>65</v>
      </c>
      <c r="N59" s="31" t="s">
        <v>65</v>
      </c>
      <c r="O59" s="31"/>
      <c r="P59" s="31"/>
      <c r="Q59" s="32"/>
      <c r="R59" s="33" t="str">
        <f>IF($O59="","",Resumen!$B$5)</f>
        <v/>
      </c>
      <c r="S59" s="34" t="str">
        <f>IF($O59="","",Resumen!$B$6)</f>
        <v/>
      </c>
      <c r="T59" s="33" t="str">
        <f t="shared" si="1"/>
        <v>PENDIENTE</v>
      </c>
    </row>
    <row r="60" spans="1:20" ht="72" customHeight="1">
      <c r="A60" s="29" t="s">
        <v>290</v>
      </c>
      <c r="B60" s="29" t="s">
        <v>182</v>
      </c>
      <c r="C60" s="29" t="s">
        <v>169</v>
      </c>
      <c r="D60" s="29"/>
      <c r="E60" s="30" t="s">
        <v>291</v>
      </c>
      <c r="F60" s="30" t="s">
        <v>31</v>
      </c>
      <c r="G60" s="30"/>
      <c r="H60" s="30"/>
      <c r="I60" s="30"/>
      <c r="J60" s="30"/>
      <c r="K60" s="31"/>
      <c r="L60" s="32"/>
      <c r="M60" s="31" t="s">
        <v>65</v>
      </c>
      <c r="N60" s="31" t="s">
        <v>65</v>
      </c>
      <c r="O60" s="31"/>
      <c r="P60" s="31"/>
      <c r="Q60" s="32"/>
      <c r="R60" s="33" t="str">
        <f>IF($O60="","",Resumen!$B$5)</f>
        <v/>
      </c>
      <c r="S60" s="34" t="str">
        <f>IF($O60="","",Resumen!$B$6)</f>
        <v/>
      </c>
      <c r="T60" s="33" t="str">
        <f t="shared" si="1"/>
        <v>PENDIENTE</v>
      </c>
    </row>
    <row r="61" spans="1:20" ht="72" customHeight="1">
      <c r="A61" s="29" t="s">
        <v>292</v>
      </c>
      <c r="B61" s="29" t="s">
        <v>182</v>
      </c>
      <c r="C61" s="29" t="s">
        <v>169</v>
      </c>
      <c r="D61" s="29"/>
      <c r="E61" s="30" t="s">
        <v>293</v>
      </c>
      <c r="F61" s="30" t="s">
        <v>31</v>
      </c>
      <c r="G61" s="30"/>
      <c r="H61" s="30"/>
      <c r="I61" s="30"/>
      <c r="J61" s="30"/>
      <c r="K61" s="31"/>
      <c r="L61" s="32"/>
      <c r="M61" s="31" t="s">
        <v>65</v>
      </c>
      <c r="N61" s="31" t="s">
        <v>65</v>
      </c>
      <c r="O61" s="31"/>
      <c r="P61" s="31"/>
      <c r="Q61" s="32"/>
      <c r="R61" s="33" t="str">
        <f>IF($O61="","",Resumen!$B$5)</f>
        <v/>
      </c>
      <c r="S61" s="34" t="str">
        <f>IF($O61="","",Resumen!$B$6)</f>
        <v/>
      </c>
      <c r="T61" s="33" t="str">
        <f t="shared" si="1"/>
        <v>PENDIENTE</v>
      </c>
    </row>
    <row r="62" spans="1:20" ht="72" customHeight="1">
      <c r="A62" s="29" t="s">
        <v>294</v>
      </c>
      <c r="B62" s="29" t="s">
        <v>182</v>
      </c>
      <c r="C62" s="29" t="s">
        <v>169</v>
      </c>
      <c r="D62" s="29"/>
      <c r="E62" s="30" t="s">
        <v>295</v>
      </c>
      <c r="F62" s="30" t="s">
        <v>31</v>
      </c>
      <c r="G62" s="30"/>
      <c r="H62" s="30"/>
      <c r="I62" s="30"/>
      <c r="J62" s="30"/>
      <c r="K62" s="31"/>
      <c r="L62" s="32"/>
      <c r="M62" s="31" t="s">
        <v>65</v>
      </c>
      <c r="N62" s="31" t="s">
        <v>65</v>
      </c>
      <c r="O62" s="31"/>
      <c r="P62" s="31"/>
      <c r="Q62" s="32"/>
      <c r="R62" s="33" t="str">
        <f>IF($O62="","",Resumen!$B$5)</f>
        <v/>
      </c>
      <c r="S62" s="34" t="str">
        <f>IF($O62="","",Resumen!$B$6)</f>
        <v/>
      </c>
      <c r="T62" s="33" t="str">
        <f t="shared" si="1"/>
        <v>PENDIENTE</v>
      </c>
    </row>
    <row r="63" spans="1:20" ht="72" customHeight="1">
      <c r="A63" s="29" t="s">
        <v>296</v>
      </c>
      <c r="B63" s="29" t="s">
        <v>182</v>
      </c>
      <c r="C63" s="29" t="s">
        <v>169</v>
      </c>
      <c r="D63" s="29" t="s">
        <v>81</v>
      </c>
      <c r="E63" s="30" t="s">
        <v>297</v>
      </c>
      <c r="F63" s="30" t="s">
        <v>31</v>
      </c>
      <c r="G63" s="30"/>
      <c r="H63" s="30"/>
      <c r="I63" s="30"/>
      <c r="J63" s="30"/>
      <c r="K63" s="31"/>
      <c r="L63" s="32"/>
      <c r="M63" s="31" t="s">
        <v>65</v>
      </c>
      <c r="N63" s="31" t="s">
        <v>65</v>
      </c>
      <c r="O63" s="31"/>
      <c r="P63" s="31"/>
      <c r="Q63" s="32"/>
      <c r="R63" s="33" t="str">
        <f>IF($O63="","",Resumen!$B$5)</f>
        <v/>
      </c>
      <c r="S63" s="34" t="str">
        <f>IF($O63="","",Resumen!$B$6)</f>
        <v/>
      </c>
      <c r="T63" s="33" t="str">
        <f t="shared" si="1"/>
        <v>PENDIENTE</v>
      </c>
    </row>
    <row r="64" spans="1:20" ht="72" customHeight="1">
      <c r="A64" s="29" t="s">
        <v>298</v>
      </c>
      <c r="B64" s="29" t="s">
        <v>182</v>
      </c>
      <c r="C64" s="29" t="s">
        <v>169</v>
      </c>
      <c r="D64" s="29"/>
      <c r="E64" s="30" t="s">
        <v>299</v>
      </c>
      <c r="F64" s="30" t="s">
        <v>31</v>
      </c>
      <c r="G64" s="30"/>
      <c r="H64" s="30"/>
      <c r="I64" s="30"/>
      <c r="J64" s="30"/>
      <c r="K64" s="31"/>
      <c r="L64" s="32"/>
      <c r="M64" s="31" t="s">
        <v>65</v>
      </c>
      <c r="N64" s="31" t="s">
        <v>65</v>
      </c>
      <c r="O64" s="31"/>
      <c r="P64" s="31"/>
      <c r="Q64" s="32"/>
      <c r="R64" s="33" t="str">
        <f>IF($O64="","",Resumen!$B$5)</f>
        <v/>
      </c>
      <c r="S64" s="34" t="str">
        <f>IF($O64="","",Resumen!$B$6)</f>
        <v/>
      </c>
      <c r="T64" s="33" t="str">
        <f t="shared" si="1"/>
        <v>PENDIENTE</v>
      </c>
    </row>
    <row r="65" spans="1:20" ht="72" customHeight="1">
      <c r="A65" s="29" t="s">
        <v>300</v>
      </c>
      <c r="B65" s="29" t="s">
        <v>182</v>
      </c>
      <c r="C65" s="29" t="s">
        <v>169</v>
      </c>
      <c r="D65" s="29" t="s">
        <v>59</v>
      </c>
      <c r="E65" s="30" t="s">
        <v>301</v>
      </c>
      <c r="F65" s="30" t="s">
        <v>31</v>
      </c>
      <c r="G65" s="30"/>
      <c r="H65" s="30"/>
      <c r="I65" s="30"/>
      <c r="J65" s="30"/>
      <c r="K65" s="31"/>
      <c r="L65" s="32"/>
      <c r="M65" s="31" t="s">
        <v>65</v>
      </c>
      <c r="N65" s="31" t="s">
        <v>65</v>
      </c>
      <c r="O65" s="31"/>
      <c r="P65" s="31"/>
      <c r="Q65" s="32"/>
      <c r="R65" s="33" t="str">
        <f>IF($O65="","",Resumen!$B$5)</f>
        <v/>
      </c>
      <c r="S65" s="34" t="str">
        <f>IF($O65="","",Resumen!$B$6)</f>
        <v/>
      </c>
      <c r="T65" s="33" t="str">
        <f t="shared" si="1"/>
        <v>PENDIENTE</v>
      </c>
    </row>
  </sheetData>
  <conditionalFormatting sqref="O6:O65">
    <cfRule type="containsText" dxfId="4" priority="1" operator="containsText" text="PASS"/>
    <cfRule type="containsText" dxfId="3" priority="2" operator="containsText" text="FAIL"/>
    <cfRule type="containsText" dxfId="2" priority="3" operator="containsText" text="DUDOSO"/>
  </conditionalFormatting>
  <conditionalFormatting sqref="T6:T65">
    <cfRule type="containsText" dxfId="1" priority="4" operator="containsText" text="PENDIENTE"/>
    <cfRule type="containsText" dxfId="0" priority="5" operator="containsText" text="REQUIERE"/>
  </conditionalFormatting>
  <dataValidations count="4">
    <dataValidation type="list" sqref="K6:K65" xr:uid="{00000000-0002-0000-0100-000000000000}">
      <formula1>"answered,needs_clarification,insufficient_evidence,error"</formula1>
    </dataValidation>
    <dataValidation type="list" sqref="M6:N65" xr:uid="{00000000-0002-0000-0100-000001000000}">
      <formula1>"PENDIENTE,PASS,FAIL,NO APLICA"</formula1>
    </dataValidation>
    <dataValidation type="list" sqref="O6:O65" xr:uid="{00000000-0002-0000-0100-000002000000}">
      <formula1>"PASS,FAIL,DUDOSO"</formula1>
    </dataValidation>
    <dataValidation type="list" sqref="P6:P65" xr:uid="{00000000-0002-0000-0100-000003000000}">
      <formula1>"SIN PROBLEMA,ESTADO INCORRECTO,RESPUESTA FACTUAL INCORRECTA,AFIRMACIÓN SIN RESPALDO,CITA INCORRECTA,FALTA INFORMACIÓN,ERROR TÉCNICO,ETIQUETA ESPERADA DUDOSA,OTRO"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Rivas</cp:lastModifiedBy>
  <dcterms:modified xsi:type="dcterms:W3CDTF">2026-10-29T01:34:23Z</dcterms:modified>
</cp:coreProperties>
</file>