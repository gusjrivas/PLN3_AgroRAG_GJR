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7e2eb89aa514544" /></Relationships>
</file>

<file path=xl/workbook.xml><?xml version="1.0" encoding="utf-8"?>
<x:workbook xmlns:x="http://schemas.openxmlformats.org/spreadsheetml/2006/main">
  <x:sheets>
    <x:sheet xmlns:r="http://schemas.openxmlformats.org/officeDocument/2006/relationships" name="Resumen" sheetId="1" r:id="R7a0003ca83844633"/>
    <x:sheet xmlns:r="http://schemas.openxmlformats.org/officeDocument/2006/relationships" name="Casos" sheetId="2" r:id="R80d872d7670b4464"/>
  </x:sheets>
</x:workbook>
</file>

<file path=xl/sharedStrings.xml><?xml version="1.0" encoding="utf-8"?>
<x:sst xmlns:x="http://schemas.openxmlformats.org/spreadsheetml/2006/main">
  <x:si>
    <x:t xml:space="preserve">Revisión manual del benchmark AgroRAG</x:t>
  </x:si>
  <x:si>
    <x:t xml:space="preserve">Complete los campos amarillos. La revisión humana debe evaluar estado, contenido factual y citas.</x:t>
  </x:si>
  <x:si>
    <x:t xml:space="preserve">Revisor</x:t>
  </x:si>
  <x:si>
    <x:t xml:space="preserve">Métrica</x:t>
  </x:si>
  <x:si>
    <x:t xml:space="preserve">Resultado</x:t>
  </x:si>
  <x:si>
    <x:t xml:space="preserve">Avance</x:t>
  </x:si>
  <x:si>
    <x:t xml:space="preserve">Fecha de revisión</x:t>
  </x:si>
  <x:si>
    <x:t xml:space="preserve">Casos totales</x:t>
  </x:si>
  <x:si>
    <x:t xml:space="preserve">Porcentaje completo</x:t>
  </x:si>
  <x:si>
    <x:t xml:space="preserve">Commit evaluado</x:t>
  </x:si>
  <x:si>
    <x:t xml:space="preserve">478cbe2</x:t>
  </x:si>
  <x:si>
    <x:t xml:space="preserve">Casos completados</x:t>
  </x:si>
  <x:si>
    <x:t xml:space="preserve">Estado</x:t>
  </x:si>
  <x:si>
    <x:t xml:space="preserve">Modelo o proveedor</x:t>
  </x:si>
  <x:si>
    <x:t xml:space="preserve">Casos pendientes</x:t>
  </x:si>
  <x:si>
    <x:t xml:space="preserve">Fuente de casos</x:t>
  </x:si>
  <x:si>
    <x:t xml:space="preserve">benchmark-60-draft.jsonl</x:t>
  </x:si>
  <x:si>
    <x:t xml:space="preserve">PASS</x:t>
  </x:si>
  <x:si>
    <x:t xml:space="preserve">FAIL</x:t>
  </x:si>
  <x:si>
    <x:t xml:space="preserve">DUDOSO</x:t>
  </x:si>
  <x:si>
    <x:t xml:space="preserve">Criterios de revisión</x:t>
  </x:si>
  <x:si>
    <x:t xml:space="preserve">1. Ejecute la pregunta en la app y registre el estado observado y la respuesta visible.</x:t>
  </x:si>
  <x:si>
    <x:t xml:space="preserve">2. Marque Revisión factual PASS sólo si las afirmaciones coinciden con la respuesta de referencia y el corpus.</x:t>
  </x:si>
  <x:si>
    <x:t xml:space="preserve">3. Marque Revisión de citas PASS sólo si las fuentes citadas respaldan las afirmaciones. Use NO APLICA cuando el sistema aclara o se abstiene.</x:t>
  </x:si>
  <x:si>
    <x:t xml:space="preserve">4. Resultado general PASS exige estado correcto, contenido factual correcto y citas correctas cuando corresponden.</x:t>
  </x:si>
  <x:si>
    <x:t xml:space="preserve">5. Use DUDOSO cuando la etiqueta esperada o la evidencia requieran una segunda revisión.</x:t>
  </x:si>
  <x:si>
    <x:t xml:space="preserve">6. Al terminar, adjunte este archivo. No cambie query_id ni los datos fuente de las columnas A:J.</x:t>
  </x:si>
  <x:si>
    <x:t xml:space="preserve">Estado esperado</x:t>
  </x:si>
  <x:si>
    <x:t xml:space="preserve">Total</x:t>
  </x:si>
  <x:si>
    <x:t xml:space="preserve">Completados</x:t>
  </x:si>
  <x:si>
    <x:t xml:space="preserve">answered</x:t>
  </x:si>
  <x:si>
    <x:t xml:space="preserve">needs_clarification</x:t>
  </x:si>
  <x:si>
    <x:t xml:space="preserve">insufficient_evidence</x:t>
  </x:si>
  <x:si>
    <x:t xml:space="preserve">TOTAL</x:t>
  </x:si>
  <x:si>
    <x:t xml:space="preserve">Casos para revisión manual</x:t>
  </x:si>
  <x:si>
    <x:t xml:space="preserve">Complete únicamente las columnas amarillas K:Q. Use filtros para revisar por split, categoría o resultado.</x:t>
  </x:si>
  <x:si>
    <x:t xml:space="preserve">query_id</x:t>
  </x:si>
  <x:si>
    <x:t xml:space="preserve">split</x:t>
  </x:si>
  <x:si>
    <x:t xml:space="preserve">category</x:t>
  </x:si>
  <x:si>
    <x:t xml:space="preserve">crop</x:t>
  </x:si>
  <x:si>
    <x:t xml:space="preserve">question</x:t>
  </x:si>
  <x:si>
    <x:t xml:space="preserve">expected_status</x:t>
  </x:si>
  <x:si>
    <x:t xml:space="preserve">reference_answer</x:t>
  </x:si>
  <x:si>
    <x:t xml:space="preserve">required_claims</x:t>
  </x:si>
  <x:si>
    <x:t xml:space="preserve">source_pages</x:t>
  </x:si>
  <x:si>
    <x:t xml:space="preserve">evidence_ids</x:t>
  </x:si>
  <x:si>
    <x:t xml:space="preserve">observed_status</x:t>
  </x:si>
  <x:si>
    <x:t xml:space="preserve">observed_answer</x:t>
  </x:si>
  <x:si>
    <x:t xml:space="preserve">factual_review</x:t>
  </x:si>
  <x:si>
    <x:t xml:space="preserve">citation_review</x:t>
  </x:si>
  <x:si>
    <x:t xml:space="preserve">overall_result</x:t>
  </x:si>
  <x:si>
    <x:t xml:space="preserve">issue_type</x:t>
  </x:si>
  <x:si>
    <x:t xml:space="preserve">notes</x:t>
  </x:si>
  <x:si>
    <x:t xml:space="preserve">reviewer</x:t>
  </x:si>
  <x:si>
    <x:t xml:space="preserve">review_date</x:t>
  </x:si>
  <x:si>
    <x:t xml:space="preserve">review_status</x:t>
  </x:si>
  <x:si>
    <x:t xml:space="preserve">dev-r-001</x:t>
  </x:si>
  <x:si>
    <x:t xml:space="preserve">dev</x:t>
  </x:si>
  <x:si>
    <x:t xml:space="preserve">respondable</x:t>
  </x:si>
  <x:si>
    <x:t xml:space="preserve">lettuce</x:t>
  </x:si>
  <x:si>
    <x:t xml:space="preserve">¿Qué temperaturas favorecen el desarrollo de la lechuga?</x:t>
  </x:si>
  <x:si>
    <x:t xml:space="preserve">La lechuga se desarrolla bien con promedios mensuales de 13 a 18 °C; el rango citado es de 7 a 24 °C y temperaturas superiores a 30 °C perjudican la germinación y el desarrollo.</x:t>
  </x:si>
  <x:si>
    <x:t xml:space="preserve">El promedio mensual favorable es de 13 a 18 °C.
Temperaturas superiores a 30 °C perjudican el cultivo.</x:t>
  </x:si>
  <x:si>
    <x:t xml:space="preserve">INTA-HUERTA-2008:69</x:t>
  </x:si>
  <x:si>
    <x:t xml:space="preserve">df3b22180f03865d9b37eeb3ad74c72d84b6cd2fed74fc3122a417a42a842c8d</x:t>
  </x:si>
  <x:si>
    <x:t xml:space="preserve">Página PDF 69 · página impresa 67 · 1a edición, 2008
Clima y Suelo
La lechuga se desarrolla bien en climas templados frescos, con tempe-
raturas promedio mensuales comprendidas entre 13o y 18oC, con un
rango que puede oscilar entre 7o y 24oC, variación que permite su cul-
tivo durante todo el año, utilizando las variedades adecuadas.
La temperatura alta, principalmente aquella que supera los 30oC, es el
factor más importante que gravita negativamente en la germinación y
el posterior desarrollo del cultivo, condicionando el crecimiento.
En cuanto a las características del suelo, los que mejor se adaptan son
los de alta fertilidad (alto contenido de materia orgánica), de buen dre-
naje con alta capacidad de retención de humedad y una acidez neutra.</x:t>
  </x:si>
  <x:si>
    <x:t xml:space="preserve">SIN PROBLEMA</x:t>
  </x:si>
  <x:si>
    <x:t xml:space="preserve">dev-r-002</x:t>
  </x:si>
  <x:si>
    <x:t xml:space="preserve">¿Por qué una temperatura mayor a 30 °C es problemática para la lechuga?</x:t>
  </x:si>
  <x:si>
    <x:t xml:space="preserve">Porque la temperatura alta, especialmente por encima de 30 °C, afecta negativamente la germinación y el desarrollo posterior, condicionando el crecimiento.</x:t>
  </x:si>
  <x:si>
    <x:t xml:space="preserve">Más de 30 °C afecta la germinación.
La temperatura alta condiciona el crecimiento posterior.</x:t>
  </x:si>
  <x:si>
    <x:t xml:space="preserve">dev-r-003</x:t>
  </x:si>
  <x:si>
    <x:t xml:space="preserve">¿Qué métodos de riego se mencionan para la lechuga?</x:t>
  </x:si>
  <x:si>
    <x:t xml:space="preserve">Se mencionan riego por surco, inundación, aspersión, localizado, gravitacional por pulso y goteo; la elección depende del sistema y la zona de producción.</x:t>
  </x:si>
  <x:si>
    <x:t xml:space="preserve">El corpus menciona surco, inundación, aspersión y riego localizado.
También menciona riego gravitacional por pulso y goteo.</x:t>
  </x:si>
  <x:si>
    <x:t xml:space="preserve">INTA-HUERTA-2008:72
INTA-LECHUGA-2022:40</x:t>
  </x:si>
  <x:si>
    <x:t xml:space="preserve">2af04baa4eb101bcbd21f58aeeaf8c813d1b538f607163245e255b25beababe5
8eda9b1a3456cede493fadcb22c3baf3f33036c34ae4cffb1465d44512ecfa9c</x:t>
  </x:si>
  <x:si>
    <x:t xml:space="preserve">dev-r-004</x:t>
  </x:si>
  <x:si>
    <x:t xml:space="preserve">¿El corpus contempla riego por aspersión y por goteo en lechuga?</x:t>
  </x:si>
  <x:si>
    <x:t xml:space="preserve">Sí. Las fuentes enumeran la aspersión y el riego por goteo entre los sistemas utilizados en lechuga.</x:t>
  </x:si>
  <x:si>
    <x:t xml:space="preserve">La aspersión está mencionada para lechuga.
El goteo está mencionado para lechuga.</x:t>
  </x:si>
  <x:si>
    <x:t xml:space="preserve">dev-r-005</x:t>
  </x:si>
  <x:si>
    <x:t xml:space="preserve">tomato</x:t>
  </x:si>
  <x:si>
    <x:t xml:space="preserve">¿Qué nivel de humedad del suelo se recomienda para el tomate?</x:t>
  </x:si>
  <x:si>
    <x:t xml:space="preserve">La fuente recomienda mantener el suelo cerca del 70 % de su capacidad de retención máxima.</x:t>
  </x:si>
  <x:si>
    <x:t xml:space="preserve">La recomendación citada es 70 % de la capacidad de retención máxima.</x:t>
  </x:si>
  <x:si>
    <x:t xml:space="preserve">INTA-HUERTA-2008:103</x:t>
  </x:si>
  <x:si>
    <x:t xml:space="preserve">354faf3532b9536270b9f42f380fcbb1d53de7f3d9b57a5d0d64ca8310e90c78</x:t>
  </x:si>
  <x:si>
    <x:t xml:space="preserve">dev-r-006</x:t>
  </x:si>
  <x:si>
    <x:t xml:space="preserve">¿Qué riesgos tiene regar tomate por encima de la capacidad de retención del suelo?</x:t>
  </x:si>
  <x:si>
    <x:t xml:space="preserve">El exceso dificulta la respiración de las raíces, desperdicia agua y puede lavar sustancias que aportan fertilidad al suelo.</x:t>
  </x:si>
  <x:si>
    <x:t xml:space="preserve">El exceso de agua dificulta la respiración radicular.
Puede provocar lavado de sustancias fértiles.</x:t>
  </x:si>
  <x:si>
    <x:t xml:space="preserve">dev-r-007</x:t>
  </x:si>
  <x:si>
    <x:t xml:space="preserve">¿Cuál es el período crítico del tomate frente a la falta de agua?</x:t>
  </x:si>
  <x:si>
    <x:t xml:space="preserve">El cuajado de frutos es crítico; otra fuente amplía la precaución desde el inicio de floración hasta la maduración y recomienda mantener humedad suficiente durante floración y cuaje.</x:t>
  </x:si>
  <x:si>
    <x:t xml:space="preserve">El cuajado de frutos es un período crítico.
La frecuencia debe cuidarse desde floración hasta maduración.</x:t>
  </x:si>
  <x:si>
    <x:t xml:space="preserve">INTA-HUERTA-2008:131
INTA-TOMATE-2020:3
INTA-TOMATE-2020:4</x:t>
  </x:si>
  <x:si>
    <x:t xml:space="preserve">1c3ab87a9119e10257d9fd41118008571b57546a5381add1af3d121d1a858615
e107e0e395b514cf76601a4052c41499fae88601fcfaa590a500f9c91038cebb
1ed39f3ff9bd393ca12706a45d8bedfba306f477cefd008e0236b9db3855c612</x:t>
  </x:si>
  <x:si>
    <x:t xml:space="preserve">dev-r-008</x:t>
  </x:si>
  <x:si>
    <x:t xml:space="preserve">¿Desde qué etapa conviene aumentar la frecuencia de riego del tomate?</x:t>
  </x:si>
  <x:si>
    <x:t xml:space="preserve">La fuente indica aumentar la frecuencia al inicio de la floración y mantenerla hasta la maduración del fruto, con atención especial a floración y cuaje.</x:t>
  </x:si>
  <x:si>
    <x:t xml:space="preserve">La frecuencia aumenta al inicio de floración.
Se mantiene hasta la maduración del fruto.</x:t>
  </x:si>
  <x:si>
    <x:t xml:space="preserve">INTA-TOMATE-2020:3
INTA-TOMATE-2020:4</x:t>
  </x:si>
  <x:si>
    <x:t xml:space="preserve">e107e0e395b514cf76601a4052c41499fae88601fcfaa590a500f9c91038cebb
1ed39f3ff9bd393ca12706a45d8bedfba306f477cefd008e0236b9db3855c612</x:t>
  </x:si>
  <x:si>
    <x:t xml:space="preserve">dev-r-009</x:t>
  </x:si>
  <x:si>
    <x:t xml:space="preserve">¿Qué es la evapotranspiración?</x:t>
  </x:si>
  <x:si>
    <x:t xml:space="preserve">Es la combinación de la evaporación desde el suelo y la transpiración desde las plantas, procesos que ocurren simultáneamente.</x:t>
  </x:si>
  <x:si>
    <x:t xml:space="preserve">La evapotranspiración combina evaporación y transpiración.
Ambos procesos ocurren simultáneamente.</x:t>
  </x:si>
  <x:si>
    <x:t xml:space="preserve">FAO56-1998:27
INTA-RIEGO-HORTICOLAS-2024:3</x:t>
  </x:si>
  <x:si>
    <x:t xml:space="preserve">61bc6dbe976723de26b81cf82c196d5533a294c43ed83d6f8d73f1e95c1bda5e
06eb01883972c6d861772a560f2202d81f38d5f66990e60827d9aed83cab5961</x:t>
  </x:si>
  <x:si>
    <x:t xml:space="preserve">dev-r-010</x:t>
  </x:si>
  <x:si>
    <x:t xml:space="preserve">¿Qué dos pérdidas de agua integran la ET?</x:t>
  </x:si>
  <x:si>
    <x:t xml:space="preserve">La ET integra la evaporación del agua desde el suelo y la transpiración del agua desde las hojas o tejidos vegetales.</x:t>
  </x:si>
  <x:si>
    <x:t xml:space="preserve">Una componente es la evaporación del suelo.
La otra componente es la transpiración vegetal.</x:t>
  </x:si>
  <x:si>
    <x:t xml:space="preserve">dev-r-011</x:t>
  </x:si>
  <x:si>
    <x:t xml:space="preserve">¿Por qué estructuras pierden principalmente agua los cultivos?</x:t>
  </x:si>
  <x:si>
    <x:t xml:space="preserve">Los cultivos pierden principalmente agua por los estomas, pequeñas aberturas de las hojas por donde pasan gases y vapor de agua.</x:t>
  </x:si>
  <x:si>
    <x:t xml:space="preserve">La pérdida principal ocurre por los estomas.
Los estomas son aberturas en las hojas.</x:t>
  </x:si>
  <x:si>
    <x:t xml:space="preserve">FAO56-1998:29</x:t>
  </x:si>
  <x:si>
    <x:t xml:space="preserve">329cdac0e9de37a402dc2e2284790b316d99dd23cfc2d62a6cba023ed0c3a7c3</x:t>
  </x:si>
  <x:si>
    <x:t xml:space="preserve">dev-r-012</x:t>
  </x:si>
  <x:si>
    <x:t xml:space="preserve">¿Qué factores se deben considerar al evaluar la transpiración?</x:t>
  </x:si>
  <x:si>
    <x:t xml:space="preserve">Se consideran radiación, temperatura del aire, humedad, viento, contenido de agua del suelo, capacidad de conducir agua a las raíces, anegamiento, salinidad y características del cultivo y manejo.</x:t>
  </x:si>
  <x:si>
    <x:t xml:space="preserve">Radiación, temperatura, humedad y viento influyen en la transpiración.
También influyen el agua del suelo, la salinidad y el cultivo.</x:t>
  </x:si>
  <x:si>
    <x:t xml:space="preserve">329cdac0e9de37a402dc2e2284790b316d99dd23cfc2d62a6cba023ed0c3a7c3
7ce0d2d3dac5db8b84e4ce2b86f547337c45a057562aea5e2378782441a4578f</x:t>
  </x:si>
  <x:si>
    <x:t xml:space="preserve">dev-r-013</x:t>
  </x:si>
  <x:si>
    <x:t xml:space="preserve">¿Qué significan capacidad de campo y punto de marchitez permanente?</x:t>
  </x:si>
  <x:si>
    <x:t xml:space="preserve">La capacidad de campo es el agua que el suelo retiene contra la gravedad después de saturarse; el punto de marchitez permanente es el agua remanente que las plantas ya no pueden extraer.</x:t>
  </x:si>
  <x:si>
    <x:t xml:space="preserve">La capacidad de campo es agua retenida contra la gravedad.
En el punto de marchitez la planta ya no extrae agua.</x:t>
  </x:si>
  <x:si>
    <x:t xml:space="preserve">FAO56-1998:187
INTA-RIEGO-HORTICOLAS-2024:6</x:t>
  </x:si>
  <x:si>
    <x:t xml:space="preserve">7a7407cdc6817ec98a075e75d7541899aca7d2e58e8ecf8cd71288aba7301284
cfea1e355bbc343d7c0fba4cfb2378959d327a0b96ee265d0916b783dcb1937a</x:t>
  </x:si>
  <x:si>
    <x:t xml:space="preserve">dev-r-014</x:t>
  </x:si>
  <x:si>
    <x:t xml:space="preserve">¿Cómo se define el agua disponible total en el suelo?</x:t>
  </x:si>
  <x:si>
    <x:t xml:space="preserve">El agua disponible total es la diferencia entre la capacidad de campo y el punto de marchitez permanente.</x:t>
  </x:si>
  <x:si>
    <x:t xml:space="preserve">ADT se calcula como capacidad de campo menos punto de marchitez permanente.</x:t>
  </x:si>
  <x:si>
    <x:t xml:space="preserve">dev-r-015</x:t>
  </x:si>
  <x:si>
    <x:t xml:space="preserve">¿Qué variables meteorológicas se consideran para ajustar la programación del riego?</x:t>
  </x:si>
  <x:si>
    <x:t xml:space="preserve">La programación debe ajustarse con la temperatura, humedad, precipitación, viento y radiación del ciclo en curso.</x:t>
  </x:si>
  <x:si>
    <x:t xml:space="preserve">Se consideran temperatura, humedad y precipitación.
También se consideran viento y radiación.</x:t>
  </x:si>
  <x:si>
    <x:t xml:space="preserve">INTA-RIEGO-HORTICOLAS-2024:12</x:t>
  </x:si>
  <x:si>
    <x:t xml:space="preserve">5208387d04bc77975d5d325ba305cacb936129ea760c2795efb54de887f6a59c</x:t>
  </x:si>
  <x:si>
    <x:t xml:space="preserve">dev-r-016</x:t>
  </x:si>
  <x:si>
    <x:t xml:space="preserve">¿Cómo puede monitorearse la humedad o retención de agua del suelo?</x:t>
  </x:si>
  <x:si>
    <x:t xml:space="preserve">La humedad puede determinarse directamente por método gravimétrico o indirectamente con sensores; la energía de retención puede medirse con tensiómetros o bloques de yeso.</x:t>
  </x:si>
  <x:si>
    <x:t xml:space="preserve">El método gravimétrico y los sensores permiten estimar humedad.
Tensiómetros o bloques de yeso permiten evaluar retención.</x:t>
  </x:si>
  <x:si>
    <x:t xml:space="preserve">2e57dd332312bf09447cb2b8aed7d4833e509b06bf2334ef72e73cd94fe46214</x:t>
  </x:si>
  <x:si>
    <x:t xml:space="preserve">dev-r-017</x:t>
  </x:si>
  <x:si>
    <x:t xml:space="preserve">¿Qué conductividad eléctrica del agua se recomienda no superar para lechuga?</x:t>
  </x:si>
  <x:si>
    <x:t xml:space="preserve">La fuente recomienda mantener la conductividad eléctrica del agua de riego por debajo de 0,9 dS/m; a 1,4 dS/m el rendimiento potencial disminuye 10 %.</x:t>
  </x:si>
  <x:si>
    <x:t xml:space="preserve">La CE del agua debería ser menor a 0,9 dS/m.
A 1,4 dS/m se informa una disminución potencial de 10 %.</x:t>
  </x:si>
  <x:si>
    <x:t xml:space="preserve">INTA-LECHUGA-2022:28</x:t>
  </x:si>
  <x:si>
    <x:t xml:space="preserve">90b1847529581acb386fb07c78121faece5e3ec7fae3fcce6b08c16f5e8d9084</x:t>
  </x:si>
  <x:si>
    <x:t xml:space="preserve">dev-r-018</x:t>
  </x:si>
  <x:si>
    <x:t xml:space="preserve">¿Cómo afecta la salinidad a la absorción de agua en lechuga?</x:t>
  </x:si>
  <x:si>
    <x:t xml:space="preserve">Las sales elevan la presión osmótica y dificultan que la planta absorba agua, pudiendo causar sequía fisiológica y efectos tóxicos.</x:t>
  </x:si>
  <x:si>
    <x:t xml:space="preserve">La salinidad aumenta la presión osmótica.
Puede dificultar la absorción y causar sequía fisiológica.</x:t>
  </x:si>
  <x:si>
    <x:t xml:space="preserve">dev-u-001</x:t>
  </x:si>
  <x:si>
    <x:t xml:space="preserve">unsupported</x:t>
  </x:si>
  <x:si>
    <x:t xml:space="preserve">¿Qué dosis exacta de nitrógeno por hectárea se recomienda para tomate?</x:t>
  </x:si>
  <x:si>
    <x:t xml:space="preserve">dev-u-002</x:t>
  </x:si>
  <x:si>
    <x:t xml:space="preserve">¿Qué insecticida y dosis debo aplicar contra mosca blanca?</x:t>
  </x:si>
  <x:si>
    <x:t xml:space="preserve">dev-u-003</x:t>
  </x:si>
  <x:si>
    <x:t xml:space="preserve">¿Cuántas toneladas por hectárea rendirá mi cultivo de lechuga?</x:t>
  </x:si>
  <x:si>
    <x:t xml:space="preserve">dev-u-004</x:t>
  </x:si>
  <x:si>
    <x:t xml:space="preserve">¿Va a llover mañana en mi lote?</x:t>
  </x:si>
  <x:si>
    <x:t xml:space="preserve">dev-u-005</x:t>
  </x:si>
  <x:si>
    <x:t xml:space="preserve">¿Qué marca y modelo de sensor de humedad debería comprar?</x:t>
  </x:si>
  <x:si>
    <x:t xml:space="preserve">dev-u-006</x:t>
  </x:si>
  <x:si>
    <x:t xml:space="preserve">¿Cuál es la variedad comercial de tomate más rentable este año?</x:t>
  </x:si>
  <x:si>
    <x:t xml:space="preserve">dev-a-001</x:t>
  </x:si>
  <x:si>
    <x:t xml:space="preserve">adversarial</x:t>
  </x:si>
  <x:si>
    <x:t xml:space="preserve">¿Cuánta agua le doy?</x:t>
  </x:si>
  <x:si>
    <x:t xml:space="preserve">dev-a-002</x:t>
  </x:si>
  <x:si>
    <x:t xml:space="preserve">¿Cada cuánto tengo que regar?</x:t>
  </x:si>
  <x:si>
    <x:t xml:space="preserve">dev-a-003</x:t>
  </x:si>
  <x:si>
    <x:t xml:space="preserve">Las hojas están mal, ¿es por el riego?</x:t>
  </x:si>
  <x:si>
    <x:t xml:space="preserve">dev-a-004</x:t>
  </x:si>
  <x:si>
    <x:t xml:space="preserve">El sensor marca 20, ¿riego ahora?</x:t>
  </x:si>
  <x:si>
    <x:t xml:space="preserve">dev-a-005</x:t>
  </x:si>
  <x:si>
    <x:t xml:space="preserve">¿Esto es demasiada agua para el cultivo?</x:t>
  </x:si>
  <x:si>
    <x:t xml:space="preserve">dev-a-006</x:t>
  </x:si>
  <x:si>
    <x:t xml:space="preserve">¿Cuál es el momento crítico?</x:t>
  </x:si>
  <x:si>
    <x:t xml:space="preserve">test-r-001</x:t>
  </x:si>
  <x:si>
    <x:t xml:space="preserve">test</x:t>
  </x:si>
  <x:si>
    <x:t xml:space="preserve">¿Cuándo es más crítica la falta de agua en lechuga?</x:t>
  </x:si>
  <x:si>
    <x:t xml:space="preserve">La humedad debe sostenerse durante todo el ciclo, especialmente antes de la cosecha; su sistema radicular reducido hace que no tolere ni períodos breves de sequía.</x:t>
  </x:si>
  <x:si>
    <x:t xml:space="preserve">La humedad es crítica durante todo el ciclo.
La atención es especial antes de cosecha.</x:t>
  </x:si>
  <x:si>
    <x:t xml:space="preserve">INTA-HUERTA-2008:131
INTA-LECHUGA-2022:28</x:t>
  </x:si>
  <x:si>
    <x:t xml:space="preserve">2bea1c46e7dce68ee23b3d6609270dd5a50d3ce18b1d0795f25f6e9cc4f01288
589be666477a5dc5a77f3a2706564f1dae6b53085d90b88b7bacbdb4a4e607cf</x:t>
  </x:si>
  <x:si>
    <x:t xml:space="preserve">test-r-002</x:t>
  </x:si>
  <x:si>
    <x:t xml:space="preserve">¿Por qué la lechuga es sensible a períodos breves de sequía?</x:t>
  </x:si>
  <x:si>
    <x:t xml:space="preserve">Porque su sistema radicular es muy reducido respecto de la parte aérea, por lo que es susceptible al déficit hídrico durante todo el ciclo.</x:t>
  </x:si>
  <x:si>
    <x:t xml:space="preserve">La lechuga tiene un sistema radicular reducido.
Esa condición aumenta su susceptibilidad al déficit hídrico.</x:t>
  </x:si>
  <x:si>
    <x:t xml:space="preserve">589be666477a5dc5a77f3a2706564f1dae6b53085d90b88b7bacbdb4a4e607cf</x:t>
  </x:si>
  <x:si>
    <x:t xml:space="preserve">test-r-003</x:t>
  </x:si>
  <x:si>
    <x:t xml:space="preserve">¿Qué variables climáticas controlan la evaporación?</x:t>
  </x:si>
  <x:si>
    <x:t xml:space="preserve">La radiación solar, la temperatura del aire, la humedad y la velocidad del viento son variables climáticas centrales para evaluar la evaporación.</x:t>
  </x:si>
  <x:si>
    <x:t xml:space="preserve">Radiación y temperatura influyen en la evaporación.
Humedad y viento también influyen.</x:t>
  </x:si>
  <x:si>
    <x:t xml:space="preserve">FAO56-1998:27</x:t>
  </x:si>
  <x:si>
    <x:t xml:space="preserve">61bc6dbe976723de26b81cf82c196d5533a294c43ed83d6f8d73f1e95c1bda5e
7c84836214c34dc7fd2c6434c077f328c5207e922455fb613af21eea46c5a2d5</x:t>
  </x:si>
  <x:si>
    <x:t xml:space="preserve">test-r-004</x:t>
  </x:si>
  <x:si>
    <x:t xml:space="preserve">¿Qué ocurre con la evaporación cuando la superficie del suelo queda sin aporte de agua?</x:t>
  </x:si>
  <x:si>
    <x:t xml:space="preserve">Cuando se seca la capa superficial y no hay nuevo aporte de agua, la disponibilidad limita el proceso: la evaporación disminuye rápidamente y puede casi cesar en pocos días.</x:t>
  </x:si>
  <x:si>
    <x:t xml:space="preserve">La disponibilidad de agua superficial pasa a controlar la evaporación.
Sin aporte, la evaporación puede casi cesar en pocos días.</x:t>
  </x:si>
  <x:si>
    <x:t xml:space="preserve">7c84836214c34dc7fd2c6434c077f328c5207e922455fb613af21eea46c5a2d5
14e7b897c966cc3457e54277f72fd7bfda45b36611a6f9200622202341716cac</x:t>
  </x:si>
  <x:si>
    <x:t xml:space="preserve">test-r-005</x:t>
  </x:si>
  <x:si>
    <x:t xml:space="preserve">¿Cómo cambia la proporción de evaporación y transpiración a medida que crece el cultivo?</x:t>
  </x:si>
  <x:si>
    <x:t xml:space="preserve">Al inicio predomina la evaporación del suelo; al crecer la cobertura, el suelo recibe menos radiación y la transpiración pasa a dominar. Con cobertura completa, más de 90 % de la ET puede corresponder a transpiración.</x:t>
  </x:si>
  <x:si>
    <x:t xml:space="preserve">Al inicio predomina la evaporación.
Con cobertura completa predomina la transpiración.</x:t>
  </x:si>
  <x:si>
    <x:t xml:space="preserve">FAO56-1998:29
INTA-RIEGO-HORTICOLAS-2024:3</x:t>
  </x:si>
  <x:si>
    <x:t xml:space="preserve">7ce0d2d3dac5db8b84e4ce2b86f547337c45a057562aea5e2378782441a4578f
92d081dcf1b8418b9362a935e5387b93ddafa36cff169b0cfa59049cd876a98f
06eb01883972c6d861772a560f2202d81f38d5f66990e60827d9aed83cab5961</x:t>
  </x:si>
  <x:si>
    <x:t xml:space="preserve">test-r-006</x:t>
  </x:si>
  <x:si>
    <x:t xml:space="preserve">¿Qué fracción de la ET puede provenir de la transpiración con cobertura completa?</x:t>
  </x:si>
  <x:si>
    <x:t xml:space="preserve">La fuente indica que con cobertura completa del cultivo más del 90 % de la evapotranspiración proviene de la transpiración.</x:t>
  </x:si>
  <x:si>
    <x:t xml:space="preserve">Con cobertura completa, más de 90 % de la ET puede ser transpiración.</x:t>
  </x:si>
  <x:si>
    <x:t xml:space="preserve">92d081dcf1b8418b9362a935e5387b93ddafa36cff169b0cfa59049cd876a98f</x:t>
  </x:si>
  <x:si>
    <x:t xml:space="preserve">test-r-007</x:t>
  </x:si>
  <x:si>
    <x:t xml:space="preserve">¿Qué es el agua fácilmente aprovechable y cómo se relaciona con el factor p?</x:t>
  </x:si>
  <x:si>
    <x:t xml:space="preserve">El agua fácilmente aprovechable es la porción del agua disponible total que el cultivo puede agotar antes de que el estrés reduzca el rendimiento; se obtiene afectando ADT por el factor p.</x:t>
  </x:si>
  <x:si>
    <x:t xml:space="preserve">AFA es una porción de ADT.
El factor p representa la fracción agotable antes del estrés que reduce rendimiento.</x:t>
  </x:si>
  <x:si>
    <x:t xml:space="preserve">INTA-RIEGO-HORTICOLAS-2024:6</x:t>
  </x:si>
  <x:si>
    <x:t xml:space="preserve">cfea1e355bbc343d7c0fba4cfb2378959d327a0b96ee265d0916b783dcb1937a
5881d9222ad259d0a66f38e220a7b4bdcc994382e2f4f51b581c981536de65ea</x:t>
  </x:si>
  <x:si>
    <x:t xml:space="preserve">test-r-008</x:t>
  </x:si>
  <x:si>
    <x:t xml:space="preserve">¿Cómo se relacionan el umbral de riego y el factor p?</x:t>
  </x:si>
  <x:si>
    <x:t xml:space="preserve">El umbral de riego es el agua remanente tras consumirse el agua fácilmente aprovechable y su relación indicada es UR = 1 - p.</x:t>
  </x:si>
  <x:si>
    <x:t xml:space="preserve">UR es el agua remanente después de consumir AFA.
La relación indicada es UR = 1 - p.</x:t>
  </x:si>
  <x:si>
    <x:t xml:space="preserve">5881d9222ad259d0a66f38e220a7b4bdcc994382e2f4f51b581c981536de65ea</x:t>
  </x:si>
  <x:si>
    <x:t xml:space="preserve">test-r-009</x:t>
  </x:si>
  <x:si>
    <x:t xml:space="preserve">¿Cómo cambia el riego durante los primeros 30 días del cultivo?</x:t>
  </x:si>
  <x:si>
    <x:t xml:space="preserve">Durante los primeros 30 días se considera una profundidad radical de 25 % de la final, por lo que se repone una lámina menor con mayor frecuencia para evitar la deshidratación de las plántulas.</x:t>
  </x:si>
  <x:si>
    <x:t xml:space="preserve">Se considera 25 % de la profundidad radical final.
La lámina es menor y la frecuencia mayor.</x:t>
  </x:si>
  <x:si>
    <x:t xml:space="preserve">INTA-RIEGO-HORTICOLAS-2024:13</x:t>
  </x:si>
  <x:si>
    <x:t xml:space="preserve">90621a2a3481fe8581b8a51a17387a7c478698ec71a5033d1a650bbba90a2e83</x:t>
  </x:si>
  <x:si>
    <x:t xml:space="preserve">test-r-010</x:t>
  </x:si>
  <x:si>
    <x:t xml:space="preserve">¿Por qué se recomienda controlar más el agua durante el primer mes?</x:t>
  </x:si>
  <x:si>
    <x:t xml:space="preserve">Porque las raíces todavía exploran poca profundidad y se busca evitar la deshidratación de las plántulas ajustando láminas menores y riegos más frecuentes.</x:t>
  </x:si>
  <x:si>
    <x:t xml:space="preserve">La profundidad radical inicial es reducida.
El control busca evitar deshidratación de plántulas.</x:t>
  </x:si>
  <x:si>
    <x:t xml:space="preserve">test-r-011</x:t>
  </x:si>
  <x:si>
    <x:t xml:space="preserve">¿Qué características del suelo favorecen a la lechuga?</x:t>
  </x:si>
  <x:si>
    <x:t xml:space="preserve">Se describen suelos ligeros, con materia orgánica, capacidad de retener agua, buen drenaje y estructura adecuada; el pH ideal citado es 6,6 a 7,8.</x:t>
  </x:si>
  <x:si>
    <x:t xml:space="preserve">Se requiere retención de agua junto con buen drenaje.
El rango de pH citado es 6,6 a 7,8.</x:t>
  </x:si>
  <x:si>
    <x:t xml:space="preserve">cb5eae9ae26093a947585961d525b36e914d27c964d33ebd50936ebe015b1382</x:t>
  </x:si>
  <x:si>
    <x:t xml:space="preserve">test-r-012</x:t>
  </x:si>
  <x:si>
    <x:t xml:space="preserve">¿Qué problemas causa el exceso de riego en lechuga?</x:t>
  </x:si>
  <x:si>
    <x:t xml:space="preserve">Puede provocar encharcamiento, asfixia radicular, mayor riesgo de enfermedades y arrastre o lixiviación de nutrientes.</x:t>
  </x:si>
  <x:si>
    <x:t xml:space="preserve">El exceso puede causar asfixia radicular.
Puede aumentar enfermedades y pérdida de nutrientes.</x:t>
  </x:si>
  <x:si>
    <x:t xml:space="preserve">INTA-LECHUGA-2022:28
INTA-LECHUGA-2022:40
INTA-LECHUGA-2022:45</x:t>
  </x:si>
  <x:si>
    <x:t xml:space="preserve">cb5eae9ae26093a947585961d525b36e914d27c964d33ebd50936ebe015b1382
8eda9b1a3456cede493fadcb22c3baf3f33036c34ae4cffb1465d44512ecfa9c
53258d42cf5efa0231aeca4ec23332589b44c25ba5887aa242f471cb95b449c0</x:t>
  </x:si>
  <x:si>
    <x:t xml:space="preserve">test-r-013</x:t>
  </x:si>
  <x:si>
    <x:t xml:space="preserve">¿Cómo ayuda la cobertura del suelo a conservar agua en lechuga?</x:t>
  </x:si>
  <x:si>
    <x:t xml:space="preserve">La cobertura mantiene más húmeda la superficie, facilita infiltración, reduce temperatura y erosión y disminuye la evapotranspiración, especialmente en estación seca y con calor.</x:t>
  </x:si>
  <x:si>
    <x:t xml:space="preserve">La cobertura conserva humedad e infiltración.
Reduce la evapotranspiración en condiciones secas y cálidas.</x:t>
  </x:si>
  <x:si>
    <x:t xml:space="preserve">INTA-LECHUGA-2022:34</x:t>
  </x:si>
  <x:si>
    <x:t xml:space="preserve">b54ec357a7197516bf052858e86225f89b8d08da98714316f639a9d60c43a38e</x:t>
  </x:si>
  <x:si>
    <x:t xml:space="preserve">test-r-014</x:t>
  </x:si>
  <x:si>
    <x:t xml:space="preserve">¿Por qué el mulch de polietileno puede no ser adecuado en zonas lluviosas?</x:t>
  </x:si>
  <x:si>
    <x:t xml:space="preserve">Porque puede impedir que el agua de lluvia ingrese al suelo; en ese caso la fuente propone considerar acolchado de materia orgánica.</x:t>
  </x:si>
  <x:si>
    <x:t xml:space="preserve">El polietileno puede impedir el ingreso de lluvia.
Se menciona materia orgánica como alternativa.</x:t>
  </x:si>
  <x:si>
    <x:t xml:space="preserve">test-r-015</x:t>
  </x:si>
  <x:si>
    <x:t xml:space="preserve">¿Cuánta agua requiere la lechuga para completar su ciclo según la estación?</x:t>
  </x:si>
  <x:si>
    <x:t xml:space="preserve">La fuente informa alrededor de 110 mm en primavera para un ciclo de 60 días y 140 mm en verano para un ciclo de 30 días.</x:t>
  </x:si>
  <x:si>
    <x:t xml:space="preserve">En primavera se citan 110 mm para 60 días.
En verano se citan 140 mm para 30 días.</x:t>
  </x:si>
  <x:si>
    <x:t xml:space="preserve">INTA-LECHUGA-2022:45</x:t>
  </x:si>
  <x:si>
    <x:t xml:space="preserve">8af24044ce2acefe73f7ac55a24678c187ad54e5be3bf1120e041507784d3a2c</x:t>
  </x:si>
  <x:si>
    <x:t xml:space="preserve">test-r-016</x:t>
  </x:si>
  <x:si>
    <x:t xml:space="preserve">¿Por qué la irrigación de lechuga debe ser regular?</x:t>
  </x:si>
  <x:si>
    <x:t xml:space="preserve">Porque la mayor parte de sus raíces explora sólo 10 a 25 cm y el volumen de suelo explorado es pequeño; una distribución regular también favorece una cosecha uniforme.</x:t>
  </x:si>
  <x:si>
    <x:t xml:space="preserve">La mayoría de las raíces alcanza 10 a 25 cm.
El bajo volumen explorado exige regularidad.</x:t>
  </x:si>
  <x:si>
    <x:t xml:space="preserve">53258d42cf5efa0231aeca4ec23332589b44c25ba5887aa242f471cb95b449c0
8af24044ce2acefe73f7ac55a24678c187ad54e5be3bf1120e041507784d3a2c</x:t>
  </x:si>
  <x:si>
    <x:t xml:space="preserve">test-r-017</x:t>
  </x:si>
  <x:si>
    <x:t xml:space="preserve">¿Qué frecuencia mínima de riego superficial se menciona para tomate?</x:t>
  </x:si>
  <x:si>
    <x:t xml:space="preserve">Se menciona una frecuencia mínima de tres días para sistemas de riego superficial en general, condicionada por factores como la textura del suelo.</x:t>
  </x:si>
  <x:si>
    <x:t xml:space="preserve">La frecuencia mínima citada es tres días.
La textura del suelo puede modificar la decisión.</x:t>
  </x:si>
  <x:si>
    <x:t xml:space="preserve">INTA-TOMATE-2020:3</x:t>
  </x:si>
  <x:si>
    <x:t xml:space="preserve">e107e0e395b514cf76601a4052c41499fae88601fcfaa590a500f9c91038cebb</x:t>
  </x:si>
  <x:si>
    <x:t xml:space="preserve">test-r-018</x:t>
  </x:si>
  <x:si>
    <x:t xml:space="preserve">¿Qué precaución se indica al regar tomate en suelos pesados?</x:t>
  </x:si>
  <x:si>
    <x:t xml:space="preserve">Se debe evitar el riego excesivo en suelos pesados para reducir el riesgo de pudriciones en el cuello de la planta.</x:t>
  </x:si>
  <x:si>
    <x:t xml:space="preserve">En suelos pesados deben evitarse riegos excesivos.
El riesgo señalado es pudrición del cuello.</x:t>
  </x:si>
  <x:si>
    <x:t xml:space="preserve">test-u-001</x:t>
  </x:si>
  <x:si>
    <x:t xml:space="preserve">¿Qué herbicida selectivo se recomienda para lechuga y en qué dosis?</x:t>
  </x:si>
  <x:si>
    <x:t xml:space="preserve">test-u-002</x:t>
  </x:si>
  <x:si>
    <x:t xml:space="preserve">¿Cuánto costará regar una hectárea de tomate este mes?</x:t>
  </x:si>
  <x:si>
    <x:t xml:space="preserve">test-u-003</x:t>
  </x:si>
  <x:si>
    <x:t xml:space="preserve">¿Qué fungicida cura la pudrición del cuello del tomate?</x:t>
  </x:si>
  <x:si>
    <x:t xml:space="preserve">test-u-004</x:t>
  </x:si>
  <x:si>
    <x:t xml:space="preserve">¿Cuál será el precio de venta de la lechuga la semana próxima?</x:t>
  </x:si>
  <x:si>
    <x:t xml:space="preserve">test-u-005</x:t>
  </x:si>
  <x:si>
    <x:t xml:space="preserve">¿Qué válvula y controlador debo instalar para automatizar el lote?</x:t>
  </x:si>
  <x:si>
    <x:t xml:space="preserve">test-u-006</x:t>
  </x:si>
  <x:si>
    <x:t xml:space="preserve">¿Cuál es la salinidad actual de mi suelo sin medirla?</x:t>
  </x:si>
  <x:si>
    <x:t xml:space="preserve">test-a-001</x:t>
  </x:si>
  <x:si>
    <x:t xml:space="preserve">¿Qué sistema de riego conviene más?</x:t>
  </x:si>
  <x:si>
    <x:t xml:space="preserve">test-a-002</x:t>
  </x:si>
  <x:si>
    <x:t xml:space="preserve">Hace mucho calor, ¿cambio el riego?</x:t>
  </x:si>
  <x:si>
    <x:t xml:space="preserve">test-a-003</x:t>
  </x:si>
  <x:si>
    <x:t xml:space="preserve">La conductividad está alta, ¿qué hago?</x:t>
  </x:si>
  <x:si>
    <x:t xml:space="preserve">test-a-004</x:t>
  </x:si>
  <x:si>
    <x:t xml:space="preserve">¿Ya debería aumentar la frecuencia?</x:t>
  </x:si>
  <x:si>
    <x:t xml:space="preserve">test-a-005</x:t>
  </x:si>
  <x:si>
    <x:t xml:space="preserve">¿El suelo está demasiado húmedo?</x:t>
  </x:si>
  <x:si>
    <x:t xml:space="preserve">test-a-006</x:t>
  </x:si>
  <x:si>
    <x:t xml:space="preserve">¿Es suficiente para completar el ciclo?</x:t>
  </x:si>
</x:sst>
</file>

<file path=xl/styles.xml><?xml version="1.0" encoding="utf-8"?>
<x:styleSheet xmlns:x="http://schemas.openxmlformats.org/spreadsheetml/2006/main">
  <x:numFmts count="2">
    <x:numFmt numFmtId="164" formatCode="yyyy\-mm\-dd"/>
    <x:numFmt numFmtId="200" formatCode="yyyy-mm-dd"/>
  </x:numFmts>
  <x:fonts count="12">
    <x:font>
      <x:sz val="11"/>
      <x:name val="Carlito"/>
    </x:font>
    <x:font>
      <x:b/>
      <x:sz val="16"/>
      <x:color rgb="FF1F1F1F"/>
      <x:name val="Arial"/>
    </x:font>
    <x:font>
      <x:i/>
      <x:sz val="10"/>
      <x:color rgb="FF595959"/>
      <x:name val="Arial"/>
    </x:font>
    <x:font>
      <x:b/>
      <x:sz val="10"/>
      <x:name val="Arial"/>
    </x:font>
    <x:font>
      <x:sz val="10"/>
      <x:name val="Arial"/>
    </x:font>
    <x:font>
      <x:b/>
      <x:sz val="10"/>
      <x:color rgb="FFFFFFFF"/>
      <x:name val="Arial"/>
    </x:font>
    <x:font>
      <x:b/>
      <x:sz val="11"/>
      <x:color rgb="FF1F1F1F"/>
      <x:name val="Arial"/>
    </x:font>
    <x:font>
      <x:sz val="10"/>
      <x:color rgb="FF404040"/>
      <x:name val="Arial"/>
    </x:font>
    <x:font>
      <x:sz val="11"/>
      <x:name val="Arial"/>
    </x:font>
    <x:font>
      <x:b/>
      <x:sz val="15"/>
      <x:color rgb="FF1F1F1F"/>
      <x:name val="Arial"/>
    </x:font>
    <x:font>
      <x:sz val="9"/>
      <x:color rgb="FF1F1F1F"/>
      <x:name val="Arial"/>
    </x:font>
    <x:font>
      <x:sz val="9"/>
      <x:color rgb="FF1F1F1F"/>
      <x:name val="Arial"/>
      <x:family val="2"/>
    </x:font>
  </x:fonts>
  <x:fills count="6">
    <x:fill>
      <x:patternFill patternType="none"/>
    </x:fill>
    <x:fill>
      <x:patternFill patternType="gray125"/>
    </x:fill>
    <x:fill>
      <x:patternFill patternType="solid">
        <x:fgColor rgb="FFFFF2CC"/>
      </x:patternFill>
    </x:fill>
    <x:fill>
      <x:patternFill patternType="solid">
        <x:fgColor rgb="FF1F4E78"/>
      </x:patternFill>
    </x:fill>
    <x:fill>
      <x:patternFill patternType="solid">
        <x:fgColor rgb="FFD9E2F3"/>
      </x:patternFill>
    </x:fill>
    <x:fill>
      <x:patternFill patternType="solid">
        <x:fgColor rgb="FFF2F2F2"/>
      </x:patternFill>
    </x:fill>
  </x:fills>
  <x:borders count="14">
    <x:border>
      <x:left/>
      <x:right/>
      <x:top/>
      <x:bottom/>
      <x:diagonal/>
    </x:border>
    <x:border>
      <x:left/>
      <x:right/>
      <x:top/>
      <x:bottom style="medium">
        <x:color rgb="FF1F4E78"/>
      </x:bottom>
      <x:diagonal/>
    </x:border>
    <x:border>
      <x:left/>
      <x:right/>
      <x:top/>
      <x:bottom style="thin">
        <x:color rgb="FFD9E2F3"/>
      </x:bottom>
      <x:diagonal/>
    </x:border>
    <x:border>
      <x:left/>
      <x:right/>
      <x:top style="thin">
        <x:color rgb="FFD9E2F3"/>
      </x:top>
      <x:bottom style="thin">
        <x:color rgb="FFD9E2F3"/>
      </x:bottom>
      <x:diagonal/>
    </x:border>
    <x:border>
      <x:left/>
      <x:right/>
      <x:top style="thin">
        <x:color rgb="FFD9E2F3"/>
      </x:top>
      <x:bottom style="thin">
        <x:color rgb="FFA6A6A6"/>
      </x:bottom>
      <x:diagonal/>
    </x:border>
    <x:border>
      <x:left style="thin">
        <x:color rgb="FFA6A6A6"/>
      </x:left>
      <x:right/>
      <x:top style="thin">
        <x:color rgb="FFA6A6A6"/>
      </x:top>
      <x:bottom/>
      <x:diagonal/>
    </x:border>
    <x:border>
      <x:left/>
      <x:right style="thin">
        <x:color rgb="FFA6A6A6"/>
      </x:right>
      <x:top style="thin">
        <x:color rgb="FFA6A6A6"/>
      </x:top>
      <x:bottom/>
      <x:diagonal/>
    </x:border>
    <x:border>
      <x:left style="thin">
        <x:color rgb="FFA6A6A6"/>
      </x:left>
      <x:right/>
      <x:top/>
      <x:bottom/>
      <x:diagonal/>
    </x:border>
    <x:border>
      <x:left/>
      <x:right style="thin">
        <x:color rgb="FFA6A6A6"/>
      </x:right>
      <x:top/>
      <x:bottom/>
      <x:diagonal/>
    </x:border>
    <x:border>
      <x:left style="thin">
        <x:color rgb="FFA6A6A6"/>
      </x:left>
      <x:right/>
      <x:top/>
      <x:bottom style="thin">
        <x:color rgb="FFA6A6A6"/>
      </x:bottom>
      <x:diagonal/>
    </x:border>
    <x:border>
      <x:left/>
      <x:right style="thin">
        <x:color rgb="FFA6A6A6"/>
      </x:right>
      <x:top/>
      <x:bottom style="thin">
        <x:color rgb="FFA6A6A6"/>
      </x:bottom>
      <x:diagonal/>
    </x:border>
    <x:border>
      <x:left/>
      <x:right/>
      <x:top/>
      <x:bottom style="thin">
        <x:color rgb="FF1F4E78"/>
      </x:bottom>
      <x:diagonal/>
    </x:border>
    <x:border>
      <x:left/>
      <x:right/>
      <x:top style="thin">
        <x:color rgb="FFA6A6A6"/>
      </x:top>
      <x:bottom/>
      <x:diagonal/>
    </x:border>
    <x:border>
      <x:left/>
      <x:right/>
      <x:top/>
      <x:bottom style="thin">
        <x:color rgb="FFA6A6A6"/>
      </x:bottom>
      <x:diagonal/>
    </x:border>
  </x:borders>
  <x:cellStyleXfs count="1">
    <x:xf numFmtId="0" fontId="0" fillId="0" borderId="0"/>
  </x:cellStyleXfs>
  <x:cellXfs count="37">
    <x:xf numFmtId="0" fontId="0" fillId="0" borderId="0" xfId="0"/>
    <x:xf numFmtId="0" fontId="1" fillId="0" borderId="1" xfId="0" applyFont="1" applyBorder="1"/>
    <x:xf numFmtId="0" fontId="2" fillId="0" borderId="0" xfId="0" applyFont="1"/>
    <x:xf numFmtId="0" fontId="4" fillId="0" borderId="0" xfId="0" applyFont="1"/>
    <x:xf numFmtId="0" fontId="3" fillId="0" borderId="2" xfId="0" applyFont="1" applyBorder="1"/>
    <x:xf numFmtId="0" fontId="4" fillId="2" borderId="2" xfId="0" applyFont="1" applyFill="1" applyBorder="1"/>
    <x:xf numFmtId="0" fontId="3" fillId="0" borderId="3" xfId="0" applyFont="1" applyBorder="1"/>
    <x:xf numFmtId="164" fontId="4" fillId="2" borderId="3" xfId="0" applyNumberFormat="1" applyFont="1" applyFill="1" applyBorder="1"/>
    <x:xf numFmtId="0" fontId="4" fillId="2" borderId="3" xfId="0" applyFont="1" applyFill="1" applyBorder="1"/>
    <x:xf numFmtId="0" fontId="3" fillId="0" borderId="4" xfId="0" applyFont="1" applyBorder="1"/>
    <x:xf numFmtId="0" fontId="4" fillId="0" borderId="4" xfId="0" applyFont="1" applyBorder="1"/>
    <x:xf numFmtId="0" fontId="5" fillId="3" borderId="5" xfId="0" applyFont="1" applyFill="1" applyBorder="1" applyAlignment="1">
      <x:alignment horizontal="center"/>
    </x:xf>
    <x:xf numFmtId="0" fontId="5" fillId="3" borderId="6" xfId="0" applyFont="1" applyFill="1" applyBorder="1" applyAlignment="1">
      <x:alignment horizontal="center"/>
    </x:xf>
    <x:xf numFmtId="0" fontId="4" fillId="0" borderId="7" xfId="0" applyFont="1" applyBorder="1"/>
    <x:xf numFmtId="0" fontId="4" fillId="0" borderId="8" xfId="0" applyFont="1" applyBorder="1" applyAlignment="1">
      <x:alignment horizontal="right"/>
    </x:xf>
    <x:xf numFmtId="0" fontId="4" fillId="0" borderId="9" xfId="0" applyFont="1" applyBorder="1"/>
    <x:xf numFmtId="0" fontId="4" fillId="0" borderId="10" xfId="0" applyFont="1" applyBorder="1" applyAlignment="1">
      <x:alignment horizontal="right"/>
    </x:xf>
    <x:xf numFmtId="9" fontId="4" fillId="0" borderId="8" xfId="0" applyNumberFormat="1" applyFont="1" applyBorder="1" applyAlignment="1">
      <x:alignment horizontal="center"/>
    </x:xf>
    <x:xf numFmtId="0" fontId="4" fillId="0" borderId="10" xfId="0" applyFont="1" applyBorder="1" applyAlignment="1">
      <x:alignment horizontal="center"/>
    </x:xf>
    <x:xf numFmtId="0" fontId="6" fillId="4" borderId="11" xfId="0" applyFont="1" applyFill="1" applyBorder="1"/>
    <x:xf numFmtId="0" fontId="7" fillId="0" borderId="0" xfId="0" applyFont="1" applyAlignment="1">
      <x:alignment vertical="center" wrapText="1"/>
    </x:xf>
    <x:xf numFmtId="0" fontId="5" fillId="3" borderId="12" xfId="0" applyFont="1" applyFill="1" applyBorder="1" applyAlignment="1">
      <x:alignment horizontal="center"/>
    </x:xf>
    <x:xf numFmtId="0" fontId="4" fillId="0" borderId="8" xfId="0" applyFont="1" applyBorder="1"/>
    <x:xf numFmtId="0" fontId="3" fillId="0" borderId="9" xfId="0" applyFont="1" applyBorder="1"/>
    <x:xf numFmtId="0" fontId="3" fillId="0" borderId="13" xfId="0" applyFont="1" applyBorder="1"/>
    <x:xf numFmtId="0" fontId="3" fillId="0" borderId="10" xfId="0" applyFont="1" applyBorder="1"/>
    <x:xf numFmtId="0" fontId="8" fillId="0" borderId="0" xfId="0" applyFont="1"/>
    <x:xf numFmtId="0" fontId="9" fillId="0" borderId="1" xfId="0" applyFont="1" applyBorder="1"/>
    <x:xf numFmtId="0" fontId="5" fillId="3" borderId="0" xfId="0" applyFont="1" applyFill="1" applyAlignment="1">
      <x:alignment horizontal="center" vertical="center" wrapText="1"/>
    </x:xf>
    <x:xf numFmtId="0" fontId="10" fillId="0" borderId="0" xfId="0" applyFont="1" applyAlignment="1">
      <x:alignment vertical="top"/>
    </x:xf>
    <x:xf numFmtId="0" fontId="10" fillId="0" borderId="0" xfId="0" applyFont="1" applyAlignment="1">
      <x:alignment vertical="top" wrapText="1"/>
    </x:xf>
    <x:xf numFmtId="0" fontId="10" fillId="2" borderId="0" xfId="0" applyFont="1" applyFill="1" applyAlignment="1">
      <x:alignment vertical="top"/>
    </x:xf>
    <x:xf numFmtId="0" fontId="10" fillId="2" borderId="0" xfId="0" applyFont="1" applyFill="1" applyAlignment="1">
      <x:alignment vertical="top" wrapText="1"/>
    </x:xf>
    <x:xf numFmtId="0" fontId="10" fillId="5" borderId="0" xfId="0" applyFont="1" applyFill="1" applyAlignment="1">
      <x:alignment vertical="top"/>
    </x:xf>
    <x:xf numFmtId="164" fontId="10" fillId="5" borderId="0" xfId="0" applyNumberFormat="1" applyFont="1" applyFill="1" applyAlignment="1">
      <x:alignment vertical="top"/>
    </x:xf>
    <x:xf numFmtId="0" fontId="11" fillId="2" borderId="0" xfId="0" applyFont="1" applyFill="1" applyAlignment="1">
      <x:alignment vertical="top" wrapText="1"/>
    </x:xf>
    <x:xf numFmtId="200" fontId="4" fillId="2" borderId="3" xfId="0" applyNumberFormat="1" applyFont="1" applyFill="1" applyBorder="1"/>
  </x:cellXfs>
  <x:cellStyles count="1">
    <x:cellStyle name="Normal" xfId="0"/>
  </x:cellStyles>
  <x:dxfs count="7">
    <x:dxf>
      <x:font>
        <x:b/>
        <x:color rgb="FFC00000"/>
      </x:font>
      <x:fill>
        <x:patternFill>
          <x:bgColor rgb="FFFCE4D6"/>
        </x:patternFill>
      </x:fill>
    </x:dxf>
    <x:dxf>
      <x:font>
        <x:b/>
        <x:color rgb="FF9C6500"/>
      </x:font>
      <x:fill>
        <x:patternFill>
          <x:bgColor rgb="FFFFF2CC"/>
        </x:patternFill>
      </x:fill>
    </x:dxf>
    <x:dxf>
      <x:font>
        <x:b/>
        <x:color rgb="FF9C6500"/>
      </x:font>
      <x:fill>
        <x:patternFill>
          <x:bgColor rgb="FFFFF2CC"/>
        </x:patternFill>
      </x:fill>
    </x:dxf>
    <x:dxf>
      <x:font>
        <x:b/>
        <x:color rgb="FFC00000"/>
      </x:font>
      <x:fill>
        <x:patternFill>
          <x:bgColor rgb="FFFCE4D6"/>
        </x:patternFill>
      </x:fill>
    </x:dxf>
    <x:dxf>
      <x:font>
        <x:b/>
        <x:color rgb="FF375623"/>
      </x:font>
      <x:fill>
        <x:patternFill>
          <x:bgColor rgb="FFE2F0D9"/>
        </x:patternFill>
      </x:fill>
    </x:dxf>
    <x:dxf>
      <x:font>
        <x:b/>
        <x:color rgb="FF375623"/>
      </x:font>
      <x:fill>
        <x:patternFill>
          <x:bgColor rgb="FFE2F0D9"/>
        </x:patternFill>
      </x:fill>
    </x:dxf>
    <x:dxf>
      <x:font>
        <x:b/>
        <x:color rgb="FF9C65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dfb0aaf74c542e5" /><Relationship Type="http://schemas.openxmlformats.org/officeDocument/2006/relationships/theme" Target="/xl/theme/theme1.xml" Id="R27079788839f4fa4" /><Relationship Type="http://schemas.openxmlformats.org/officeDocument/2006/relationships/sharedStrings" Target="/xl/sharedStrings.xml" Id="Re801b2e63c7b4825" /><Relationship Type="http://schemas.openxmlformats.org/officeDocument/2006/relationships/worksheet" Target="/xl/worksheets/sheet1.xml" Id="R7a0003ca83844633" /><Relationship Type="http://schemas.openxmlformats.org/officeDocument/2006/relationships/worksheet" Target="/xl/worksheets/sheet2.xml" Id="R80d872d7670b4464" /></Relationships>
</file>

<file path=xl/tables/table1.xml><?xml version="1.0" encoding="utf-8"?>
<x:table xmlns:x="http://schemas.openxmlformats.org/spreadsheetml/2006/main" id="1" name="ReviewCasesTable" displayName="ReviewCasesTable" ref="A5:T65" totalsRowShown="0">
  <x:autoFilter ref="A5:T65"/>
  <x:tableColumns count="20">
    <x:tableColumn id="1" name="query_id"/>
    <x:tableColumn id="2" name="split"/>
    <x:tableColumn id="3" name="category"/>
    <x:tableColumn id="4" name="crop"/>
    <x:tableColumn id="5" name="question"/>
    <x:tableColumn id="6" name="expected_status"/>
    <x:tableColumn id="7" name="reference_answer"/>
    <x:tableColumn id="8" name="required_claims"/>
    <x:tableColumn id="9" name="source_pages"/>
    <x:tableColumn id="10" name="evidence_ids"/>
    <x:tableColumn id="11" name="observed_status"/>
    <x:tableColumn id="12" name="observed_answer"/>
    <x:tableColumn id="13" name="factual_review"/>
    <x:tableColumn id="14" name="citation_review"/>
    <x:tableColumn id="15" name="overall_result"/>
    <x:tableColumn id="16" name="issue_type"/>
    <x:tableColumn id="17" name="notes"/>
    <x:tableColumn id="18" name="reviewer"/>
    <x:tableColumn id="19" name="review_date"/>
    <x:tableColumn id="20" name="review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1757e73240d4f7f" /></Relationships>
</file>

<file path=xl/worksheets/sheet1.xml><?xml version="1.0" encoding="utf-8"?>
<x:worksheet xmlns:x="http://schemas.openxmlformats.org/spreadsheetml/2006/main">
  <x:sheetPr>
    <x:tabColor rgb="FF1F4E78"/>
  </x:sheetPr>
  <x:sheetViews>
    <x:sheetView showGridLines="0" workbookViewId="0"/>
  </x:sheetViews>
  <x:sheetFormatPr baseColWidth="10" defaultColWidth="8.6640625" defaultRowHeight="14"/>
  <x:cols>
    <x:col min="1" max="1" width="62" customWidth="1"/>
    <x:col min="2" max="2" width="26" customWidth="1"/>
    <x:col min="3" max="3" width="18" customWidth="1"/>
    <x:col min="4" max="4" width="25" customWidth="1"/>
    <x:col min="5" max="5" width="15" customWidth="1"/>
    <x:col min="6" max="6" width="3" customWidth="1"/>
    <x:col min="7" max="7" width="24" customWidth="1"/>
    <x:col min="8" max="8" width="18" customWidth="1"/>
  </x:cols>
  <x:sheetData>
    <x:row r="1">
      <x:c r="A1" s="26"/>
      <x:c r="B1" s="26"/>
      <x:c r="C1" s="26"/>
      <x:c r="D1" s="26"/>
      <x:c r="E1" s="26"/>
      <x:c r="F1" s="26"/>
      <x:c r="G1" s="26"/>
      <x:c r="H1" s="26"/>
    </x:row>
    <x:row r="2" ht="20">
      <x:c r="A2" s="1" t="s">
        <x:v>0</x:v>
      </x:c>
      <x:c r="B2" s="1"/>
      <x:c r="C2" s="1"/>
      <x:c r="D2" s="1"/>
      <x:c r="E2" s="1"/>
      <x:c r="F2" s="1"/>
      <x:c r="G2" s="1"/>
      <x:c r="H2" s="1"/>
    </x:row>
    <x:row r="3">
      <x:c r="A3" s="2" t="s">
        <x:v>1</x:v>
      </x:c>
      <x:c r="B3" s="2"/>
      <x:c r="C3" s="2"/>
      <x:c r="D3" s="2"/>
      <x:c r="E3" s="2"/>
      <x:c r="F3" s="2"/>
      <x:c r="G3" s="2"/>
      <x:c r="H3" s="2"/>
    </x:row>
    <x:row r="4">
      <x:c r="A4" s="26"/>
      <x:c r="B4" s="26"/>
      <x:c r="C4" s="26"/>
      <x:c r="D4" s="26"/>
      <x:c r="E4" s="26"/>
      <x:c r="F4" s="26"/>
      <x:c r="G4" s="26"/>
      <x:c r="H4" s="26"/>
    </x:row>
    <x:row r="5">
      <x:c r="A5" s="4" t="s">
        <x:v>2</x:v>
      </x:c>
      <x:c r="B5" s="5" t="str">
        <x:v>Usuario (caso 1); Codex + Playwright (casos 2-60)</x:v>
      </x:c>
      <x:c r="C5" s="26"/>
      <x:c r="D5" s="11" t="s">
        <x:v>3</x:v>
      </x:c>
      <x:c r="E5" s="12" t="s">
        <x:v>4</x:v>
      </x:c>
      <x:c r="F5" s="26"/>
      <x:c r="G5" s="11" t="s">
        <x:v>5</x:v>
      </x:c>
      <x:c r="H5" s="12"/>
    </x:row>
    <x:row r="6">
      <x:c r="A6" s="6" t="s">
        <x:v>6</x:v>
      </x:c>
      <x:c r="B6" s="36" t="d">
        <x:v>2026-10-28T15:00:00.000Z</x:v>
      </x:c>
      <x:c r="C6" s="26"/>
      <x:c r="D6" s="13" t="s">
        <x:v>7</x:v>
      </x:c>
      <x:c r="E6" s="14" t="n">
        <x:f>COUNTA(Casos!$A$6:$A$65)</x:f>
        <x:v>60</x:v>
      </x:c>
      <x:c r="F6" s="26"/>
      <x:c r="G6" s="13" t="s">
        <x:v>8</x:v>
      </x:c>
      <x:c r="H6" s="17" t="n">
        <x:f>IF(E6=0,0,E7/E6)</x:f>
        <x:v>1</x:v>
      </x:c>
    </x:row>
    <x:row r="7">
      <x:c r="A7" s="6" t="s">
        <x:v>9</x:v>
      </x:c>
      <x:c r="B7" s="8" t="s">
        <x:v>10</x:v>
      </x:c>
      <x:c r="C7" s="26"/>
      <x:c r="D7" s="13" t="s">
        <x:v>11</x:v>
      </x:c>
      <x:c r="E7" s="14" t="n">
        <x:f>COUNTA(Casos!$O$6:$O$65)</x:f>
        <x:v>60</x:v>
      </x:c>
      <x:c r="F7" s="26"/>
      <x:c r="G7" s="15" t="s">
        <x:v>12</x:v>
      </x:c>
      <x:c r="H7" s="18" t="str">
        <x:f>IF(E8=0,"COMPLETO","PENDIENTE")</x:f>
        <x:v>COMPLETO</x:v>
      </x:c>
    </x:row>
    <x:row r="8">
      <x:c r="A8" s="6" t="s">
        <x:v>13</x:v>
      </x:c>
      <x:c r="B8" s="8" t="str">
        <x:v>OpenAI / gpt-4o</x:v>
      </x:c>
      <x:c r="C8" s="26"/>
      <x:c r="D8" s="13" t="s">
        <x:v>14</x:v>
      </x:c>
      <x:c r="E8" s="14" t="n">
        <x:f>E6-E7</x:f>
        <x:v>0</x:v>
      </x:c>
      <x:c r="F8" s="26"/>
      <x:c r="G8" s="26"/>
      <x:c r="H8" s="26"/>
    </x:row>
    <x:row r="9">
      <x:c r="A9" s="9" t="s">
        <x:v>15</x:v>
      </x:c>
      <x:c r="B9" s="10" t="s">
        <x:v>16</x:v>
      </x:c>
      <x:c r="C9" s="26"/>
      <x:c r="D9" s="13" t="s">
        <x:v>17</x:v>
      </x:c>
      <x:c r="E9" s="14" t="n">
        <x:f>COUNTIFS(Casos!$O$6:$O$65,"PASS")</x:f>
        <x:v>49</x:v>
      </x:c>
      <x:c r="F9" s="26"/>
      <x:c r="G9" s="26"/>
      <x:c r="H9" s="26"/>
    </x:row>
    <x:row r="10">
      <x:c r="A10" s="26"/>
      <x:c r="B10" s="26"/>
      <x:c r="C10" s="26"/>
      <x:c r="D10" s="13" t="s">
        <x:v>18</x:v>
      </x:c>
      <x:c r="E10" s="14" t="n">
        <x:f>COUNTIFS(Casos!$O$6:$O$65,"FAIL")</x:f>
        <x:v>11</x:v>
      </x:c>
      <x:c r="F10" s="26"/>
      <x:c r="G10" s="26"/>
      <x:c r="H10" s="26"/>
    </x:row>
    <x:row r="11">
      <x:c r="A11" s="26"/>
      <x:c r="B11" s="26"/>
      <x:c r="C11" s="26"/>
      <x:c r="D11" s="15" t="s">
        <x:v>19</x:v>
      </x:c>
      <x:c r="E11" s="16" t="n">
        <x:f>COUNTIFS(Casos!$O$6:$O$65,"DUDOSO")</x:f>
        <x:v>0</x:v>
      </x:c>
      <x:c r="F11" s="26"/>
      <x:c r="G11" s="26"/>
      <x:c r="H11" s="26"/>
    </x:row>
    <x:row r="12">
      <x:c r="A12" s="19" t="s">
        <x:v>20</x:v>
      </x:c>
      <x:c r="B12" s="19"/>
      <x:c r="C12" s="19"/>
      <x:c r="D12" s="19"/>
      <x:c r="E12" s="19"/>
      <x:c r="F12" s="19"/>
      <x:c r="G12" s="19"/>
      <x:c r="H12" s="19"/>
    </x:row>
    <x:row r="13" ht="28" customHeight="1">
      <x:c r="A13" s="20" t="s">
        <x:v>21</x:v>
      </x:c>
      <x:c r="B13" s="20"/>
      <x:c r="C13" s="20"/>
      <x:c r="D13" s="20"/>
      <x:c r="E13" s="20"/>
      <x:c r="F13" s="20"/>
      <x:c r="G13" s="20"/>
      <x:c r="H13" s="20"/>
    </x:row>
    <x:row r="14" ht="28" customHeight="1">
      <x:c r="A14" s="20" t="s">
        <x:v>22</x:v>
      </x:c>
      <x:c r="B14" s="20"/>
      <x:c r="C14" s="20"/>
      <x:c r="D14" s="20"/>
      <x:c r="E14" s="20"/>
      <x:c r="F14" s="20"/>
      <x:c r="G14" s="20"/>
      <x:c r="H14" s="20"/>
    </x:row>
    <x:row r="15" ht="28" customHeight="1">
      <x:c r="A15" s="20" t="s">
        <x:v>23</x:v>
      </x:c>
      <x:c r="B15" s="20"/>
      <x:c r="C15" s="20"/>
      <x:c r="D15" s="20"/>
      <x:c r="E15" s="20"/>
      <x:c r="F15" s="20"/>
      <x:c r="G15" s="20"/>
      <x:c r="H15" s="20"/>
    </x:row>
    <x:row r="16" ht="28" customHeight="1">
      <x:c r="A16" s="20" t="s">
        <x:v>24</x:v>
      </x:c>
      <x:c r="B16" s="20"/>
      <x:c r="C16" s="20"/>
      <x:c r="D16" s="20"/>
      <x:c r="E16" s="20"/>
      <x:c r="F16" s="20"/>
      <x:c r="G16" s="20"/>
      <x:c r="H16" s="20"/>
    </x:row>
    <x:row r="17" ht="28" customHeight="1">
      <x:c r="A17" s="20" t="s">
        <x:v>25</x:v>
      </x:c>
      <x:c r="B17" s="20"/>
      <x:c r="C17" s="20"/>
      <x:c r="D17" s="20"/>
      <x:c r="E17" s="20"/>
      <x:c r="F17" s="20"/>
      <x:c r="G17" s="20"/>
      <x:c r="H17" s="20"/>
    </x:row>
    <x:row r="18" ht="28" customHeight="1">
      <x:c r="A18" s="20" t="s">
        <x:v>26</x:v>
      </x:c>
      <x:c r="B18" s="20"/>
      <x:c r="C18" s="20"/>
      <x:c r="D18" s="20"/>
      <x:c r="E18" s="20"/>
      <x:c r="F18" s="20"/>
      <x:c r="G18" s="20"/>
      <x:c r="H18" s="20"/>
    </x:row>
    <x:row r="19">
      <x:c r="A19" s="26"/>
      <x:c r="B19" s="26"/>
      <x:c r="C19" s="26"/>
      <x:c r="D19" s="26"/>
      <x:c r="E19" s="26"/>
      <x:c r="F19" s="26"/>
      <x:c r="G19" s="26"/>
      <x:c r="H19" s="26"/>
    </x:row>
    <x:row r="20">
      <x:c r="A20" s="26"/>
      <x:c r="B20" s="26"/>
      <x:c r="C20" s="26"/>
      <x:c r="D20" s="26"/>
      <x:c r="E20" s="26"/>
      <x:c r="F20" s="26"/>
      <x:c r="G20" s="26"/>
      <x:c r="H20" s="26"/>
    </x:row>
    <x:row r="21">
      <x:c r="A21" s="11" t="s">
        <x:v>27</x:v>
      </x:c>
      <x:c r="B21" s="21" t="s">
        <x:v>28</x:v>
      </x:c>
      <x:c r="C21" s="21" t="s">
        <x:v>29</x:v>
      </x:c>
      <x:c r="D21" s="12" t="s">
        <x:v>17</x:v>
      </x:c>
      <x:c r="E21" s="26"/>
      <x:c r="F21" s="26"/>
      <x:c r="G21" s="26"/>
      <x:c r="H21" s="26"/>
    </x:row>
    <x:row r="22">
      <x:c r="A22" s="13" t="s">
        <x:v>30</x:v>
      </x:c>
      <x:c r="B22" s="3" t="n">
        <x:f>COUNTIFS(Casos!$F$6:$F$65,$A22)</x:f>
        <x:v>36</x:v>
      </x:c>
      <x:c r="C22" s="3" t="n">
        <x:f>COUNTIFS(Casos!$F$6:$F$65,$A22,Casos!$O$6:$O$65,"&lt;&gt;")</x:f>
        <x:v>36</x:v>
      </x:c>
      <x:c r="D22" s="22" t="n">
        <x:f>COUNTIFS(Casos!$F$6:$F$65,$A22,Casos!$O$6:$O$65,"PASS")</x:f>
        <x:v>25</x:v>
      </x:c>
      <x:c r="E22" s="26"/>
      <x:c r="F22" s="26"/>
      <x:c r="G22" s="26"/>
      <x:c r="H22" s="26"/>
    </x:row>
    <x:row r="23">
      <x:c r="A23" s="13" t="s">
        <x:v>31</x:v>
      </x:c>
      <x:c r="B23" s="3" t="n">
        <x:f>COUNTIFS(Casos!$F$6:$F$65,$A23)</x:f>
        <x:v>12</x:v>
      </x:c>
      <x:c r="C23" s="3" t="n">
        <x:f>COUNTIFS(Casos!$F$6:$F$65,$A23,Casos!$O$6:$O$65,"&lt;&gt;")</x:f>
        <x:v>12</x:v>
      </x:c>
      <x:c r="D23" s="22" t="n">
        <x:f>COUNTIFS(Casos!$F$6:$F$65,$A23,Casos!$O$6:$O$65,"PASS")</x:f>
        <x:v>12</x:v>
      </x:c>
      <x:c r="E23" s="26"/>
      <x:c r="F23" s="26"/>
      <x:c r="G23" s="26"/>
      <x:c r="H23" s="26"/>
    </x:row>
    <x:row r="24">
      <x:c r="A24" s="13" t="s">
        <x:v>32</x:v>
      </x:c>
      <x:c r="B24" s="3" t="n">
        <x:f>COUNTIFS(Casos!$F$6:$F$65,$A24)</x:f>
        <x:v>12</x:v>
      </x:c>
      <x:c r="C24" s="3" t="n">
        <x:f>COUNTIFS(Casos!$F$6:$F$65,$A24,Casos!$O$6:$O$65,"&lt;&gt;")</x:f>
        <x:v>12</x:v>
      </x:c>
      <x:c r="D24" s="22" t="n">
        <x:f>COUNTIFS(Casos!$F$6:$F$65,$A24,Casos!$O$6:$O$65,"PASS")</x:f>
        <x:v>12</x:v>
      </x:c>
      <x:c r="E24" s="26"/>
      <x:c r="F24" s="26"/>
      <x:c r="G24" s="26"/>
      <x:c r="H24" s="26"/>
    </x:row>
    <x:row r="25">
      <x:c r="A25" s="23" t="s">
        <x:v>33</x:v>
      </x:c>
      <x:c r="B25" s="24" t="n">
        <x:f>SUM(B22:B24)</x:f>
        <x:v>60</x:v>
      </x:c>
      <x:c r="C25" s="24" t="n">
        <x:f>SUM(C22:C24)</x:f>
        <x:v>60</x:v>
      </x:c>
      <x:c r="D25" s="25" t="n">
        <x:f>SUM(D22:D24)</x:f>
        <x:v>49</x:v>
      </x:c>
      <x:c r="E25" s="26"/>
      <x:c r="F25" s="26"/>
      <x:c r="G25" s="26"/>
      <x:c r="H25" s="26"/>
    </x:row>
  </x:sheetData>
  <x:conditionalFormatting sqref="H7:H7">
    <x:cfRule type="containsText" dxfId="6" priority="1" operator="containsText" text="PENDIENTE"/>
    <x:cfRule type="containsText" dxfId="5" priority="2" operator="containsText" text="COMPLETO"/>
  </x:conditionalFormatting>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xSplit="2" ySplit="5" topLeftCell="C6" activePane="bottomRight" state="frozen"/>
    </x:sheetView>
  </x:sheetViews>
  <x:sheetFormatPr baseColWidth="10" defaultColWidth="8.6640625" defaultRowHeight="14"/>
  <x:cols>
    <x:col min="1" max="1" width="16" customWidth="1"/>
    <x:col min="2" max="2" width="9" customWidth="1"/>
    <x:col min="3" max="3" width="15" customWidth="1"/>
    <x:col min="4" max="4" width="12" customWidth="1"/>
    <x:col min="5" max="5" width="48" customWidth="1"/>
    <x:col min="6" max="6" width="23" customWidth="1"/>
    <x:col min="7" max="7" width="55" customWidth="1"/>
    <x:col min="8" max="8" width="46" customWidth="1"/>
    <x:col min="9" max="9" width="25" customWidth="1"/>
    <x:col min="10" max="10" width="28" customWidth="1"/>
    <x:col min="11" max="11" width="23" customWidth="1"/>
    <x:col min="12" max="12" width="55" customWidth="1"/>
    <x:col min="13" max="14" width="18" customWidth="1"/>
    <x:col min="15" max="15" width="16" customWidth="1"/>
    <x:col min="16" max="16" width="30" customWidth="1"/>
    <x:col min="17" max="17" width="46" customWidth="1"/>
    <x:col min="18" max="18" width="20" customWidth="1"/>
    <x:col min="19" max="19" width="14" customWidth="1"/>
    <x:col min="20" max="20" width="24" customWidth="1"/>
  </x:cols>
  <x:sheetData>
    <x:row r="2" ht="19">
      <x:c r="A2" s="27" t="s">
        <x:v>34</x:v>
      </x:c>
      <x:c r="B2" s="27"/>
      <x:c r="C2" s="27"/>
      <x:c r="D2" s="27"/>
      <x:c r="E2" s="27"/>
      <x:c r="F2" s="27"/>
      <x:c r="G2" s="27"/>
      <x:c r="H2" s="27"/>
      <x:c r="I2" s="27"/>
      <x:c r="J2" s="27"/>
      <x:c r="K2" s="27"/>
      <x:c r="L2" s="27"/>
      <x:c r="M2" s="27"/>
      <x:c r="N2" s="27"/>
      <x:c r="O2" s="27"/>
      <x:c r="P2" s="27"/>
      <x:c r="Q2" s="27"/>
      <x:c r="R2" s="27"/>
      <x:c r="S2" s="27"/>
      <x:c r="T2" s="27"/>
    </x:row>
    <x:row r="3">
      <x:c r="A3" s="2" t="s">
        <x:v>35</x:v>
      </x:c>
      <x:c r="B3" s="2"/>
      <x:c r="C3" s="2"/>
      <x:c r="D3" s="2"/>
      <x:c r="E3" s="2"/>
      <x:c r="F3" s="2"/>
      <x:c r="G3" s="2"/>
      <x:c r="H3" s="2"/>
      <x:c r="I3" s="2"/>
      <x:c r="J3" s="2"/>
      <x:c r="K3" s="2"/>
      <x:c r="L3" s="2"/>
      <x:c r="M3" s="2"/>
      <x:c r="N3" s="2"/>
      <x:c r="O3" s="2"/>
      <x:c r="P3" s="2"/>
      <x:c r="Q3" s="2"/>
      <x:c r="R3" s="2"/>
      <x:c r="S3" s="2"/>
      <x:c r="T3" s="2"/>
    </x:row>
    <x:row r="5" ht="36" customHeight="1">
      <x:c r="A5" s="28" t="s">
        <x:v>36</x:v>
      </x:c>
      <x:c r="B5" s="28" t="s">
        <x:v>37</x:v>
      </x:c>
      <x:c r="C5" s="28" t="s">
        <x:v>38</x:v>
      </x:c>
      <x:c r="D5" s="28" t="s">
        <x:v>39</x:v>
      </x:c>
      <x:c r="E5" s="28" t="s">
        <x:v>40</x:v>
      </x:c>
      <x:c r="F5" s="28" t="s">
        <x:v>41</x:v>
      </x:c>
      <x:c r="G5" s="28" t="s">
        <x:v>42</x:v>
      </x:c>
      <x:c r="H5" s="28" t="s">
        <x:v>43</x:v>
      </x:c>
      <x:c r="I5" s="28" t="s">
        <x:v>44</x:v>
      </x:c>
      <x:c r="J5" s="28" t="s">
        <x:v>45</x:v>
      </x:c>
      <x:c r="K5" s="28" t="s">
        <x:v>46</x:v>
      </x:c>
      <x:c r="L5" s="28" t="s">
        <x:v>47</x:v>
      </x:c>
      <x:c r="M5" s="28" t="s">
        <x:v>48</x:v>
      </x:c>
      <x:c r="N5" s="28" t="s">
        <x:v>49</x:v>
      </x:c>
      <x:c r="O5" s="28" t="s">
        <x:v>50</x:v>
      </x:c>
      <x:c r="P5" s="28" t="s">
        <x:v>51</x:v>
      </x:c>
      <x:c r="Q5" s="28" t="s">
        <x:v>52</x:v>
      </x:c>
      <x:c r="R5" s="28" t="s">
        <x:v>53</x:v>
      </x:c>
      <x:c r="S5" s="28" t="s">
        <x:v>54</x:v>
      </x:c>
      <x:c r="T5" s="28" t="s">
        <x:v>55</x:v>
      </x:c>
    </x:row>
    <x:row r="6" ht="72" customHeight="1">
      <x:c r="A6" s="29" t="s">
        <x:v>56</x:v>
      </x:c>
      <x:c r="B6" s="29" t="s">
        <x:v>57</x:v>
      </x:c>
      <x:c r="C6" s="29" t="s">
        <x:v>58</x:v>
      </x:c>
      <x:c r="D6" s="29" t="s">
        <x:v>59</x:v>
      </x:c>
      <x:c r="E6" s="30" t="s">
        <x:v>60</x:v>
      </x:c>
      <x:c r="F6" s="30" t="s">
        <x:v>30</x:v>
      </x:c>
      <x:c r="G6" s="30" t="s">
        <x:v>61</x:v>
      </x:c>
      <x:c r="H6" s="30" t="s">
        <x:v>62</x:v>
      </x:c>
      <x:c r="I6" s="30" t="s">
        <x:v>63</x:v>
      </x:c>
      <x:c r="J6" s="30" t="s">
        <x:v>64</x:v>
      </x:c>
      <x:c r="K6" s="31" t="s">
        <x:v>30</x:v>
      </x:c>
      <x:c r="L6" s="35" t="s">
        <x:v>65</x:v>
      </x:c>
      <x:c r="M6" s="31" t="s">
        <x:v>17</x:v>
      </x:c>
      <x:c r="N6" s="31" t="s">
        <x:v>17</x:v>
      </x:c>
      <x:c r="O6" s="31" t="s">
        <x:v>17</x:v>
      </x:c>
      <x:c r="P6" s="31" t="s">
        <x:v>66</x:v>
      </x:c>
      <x:c r="Q6" s="32"/>
      <x:c r="R6" s="33" t="str">
        <x:f>IF($O6="","",Resumen!$B$5)</x:f>
        <x:v>Usuario (caso 1); Codex + Playwright (casos 2-60)</x:v>
      </x:c>
      <x:c r="S6" s="34" t="n">
        <x:f>IF($O6="","",Resumen!$B$6)</x:f>
        <x:v>46323.625</x:v>
      </x:c>
      <x:c r="T6" s="33" t="str">
        <x:f t="shared" ref="T6:T37" si="0">IF($O6="","PENDIENTE",IF($O6="PASS","REVISADO - PASS",IF($O6="FAIL","REVISADO - FAIL","REQUIERE REVISIÓN")))</x:f>
        <x:v>REVISADO - PASS</x:v>
      </x:c>
    </x:row>
    <x:row r="7" ht="72" customHeight="1">
      <x:c r="A7" s="29" t="s">
        <x:v>67</x:v>
      </x:c>
      <x:c r="B7" s="29" t="s">
        <x:v>57</x:v>
      </x:c>
      <x:c r="C7" s="29" t="s">
        <x:v>58</x:v>
      </x:c>
      <x:c r="D7" s="29" t="s">
        <x:v>59</x:v>
      </x:c>
      <x:c r="E7" s="30" t="s">
        <x:v>68</x:v>
      </x:c>
      <x:c r="F7" s="30" t="s">
        <x:v>30</x:v>
      </x:c>
      <x:c r="G7" s="30" t="s">
        <x:v>69</x:v>
      </x:c>
      <x:c r="H7" s="30" t="s">
        <x:v>70</x:v>
      </x:c>
      <x:c r="I7" s="30" t="s">
        <x:v>63</x:v>
      </x:c>
      <x:c r="J7" s="30" t="s">
        <x:v>64</x:v>
      </x:c>
      <x:c r="K7" s="31" t="str">
        <x:v>answered</x:v>
      </x:c>
      <x:c r="L7" s="32" t="str">
        <x:v>La temperatura alta, principalmente aquella que supera los 30 °C, es el factor más importante que afecta negativamente la germinación y el desarrollo del cultivo de lechuga.
Fuentes visibles: Manual de cultivos para la huerta orgánica familiar</x:v>
      </x:c>
      <x:c r="M7" s="31" t="str">
        <x:v>PASS</x:v>
      </x:c>
      <x:c r="N7" s="31" t="str">
        <x:v>PASS</x:v>
      </x:c>
      <x:c r="O7" s="31" t="str">
        <x:v>PASS</x:v>
      </x:c>
      <x:c r="P7" s="31" t="str">
        <x:v>SIN PROBLEMA</x:v>
      </x:c>
      <x:c r="Q7" s="32" t="str">
        <x:v>Coincide con el estado esperado; la respuesta y las fuentes visibles son coherentes con la referencia.</x:v>
      </x:c>
      <x:c r="R7" s="33" t="str">
        <x:f>IF($O7="","",Resumen!$B$5)</x:f>
        <x:v>Usuario (caso 1); Codex + Playwright (casos 2-60)</x:v>
      </x:c>
      <x:c r="S7" s="34" t="n">
        <x:f>IF($O7="","",Resumen!$B$6)</x:f>
        <x:v>46323.625</x:v>
      </x:c>
      <x:c r="T7" s="33" t="str">
        <x:f t="shared" si="0"/>
        <x:v>REVISADO - PASS</x:v>
      </x:c>
    </x:row>
    <x:row r="8" ht="72" customHeight="1">
      <x:c r="A8" s="29" t="s">
        <x:v>71</x:v>
      </x:c>
      <x:c r="B8" s="29" t="s">
        <x:v>57</x:v>
      </x:c>
      <x:c r="C8" s="29" t="s">
        <x:v>58</x:v>
      </x:c>
      <x:c r="D8" s="29" t="s">
        <x:v>59</x:v>
      </x:c>
      <x:c r="E8" s="30" t="s">
        <x:v>72</x:v>
      </x:c>
      <x:c r="F8" s="30" t="s">
        <x:v>30</x:v>
      </x:c>
      <x:c r="G8" s="30" t="s">
        <x:v>73</x:v>
      </x:c>
      <x:c r="H8" s="30" t="s">
        <x:v>74</x:v>
      </x:c>
      <x:c r="I8" s="30" t="s">
        <x:v>75</x:v>
      </x:c>
      <x:c r="J8" s="30" t="s">
        <x:v>76</x:v>
      </x:c>
      <x:c r="K8" s="31" t="str">
        <x:v>answered</x:v>
      </x:c>
      <x:c r="L8" s="32" t="str">
        <x:v>Los métodos de riego mencionados para la lechuga son riego gravitacional por pulso, riego por aspersión y riego por goteo.
Fuentes visibles: Lechuga</x:v>
      </x:c>
      <x:c r="M8" s="31" t="str">
        <x:v>FAIL</x:v>
      </x:c>
      <x:c r="N8" s="31" t="str">
        <x:v>PASS</x:v>
      </x:c>
      <x:c r="O8" s="31" t="str">
        <x:v>FAIL</x:v>
      </x:c>
      <x:c r="P8" s="31" t="str">
        <x:v>FALTA INFORMACIÓN</x:v>
      </x:c>
      <x:c r="Q8" s="32" t="str">
        <x:v>La respuesta omite riego por surco, inundación y riego localizado, exigidos por la referencia.</x:v>
      </x:c>
      <x:c r="R8" s="33" t="str">
        <x:f>IF($O8="","",Resumen!$B$5)</x:f>
        <x:v>Usuario (caso 1); Codex + Playwright (casos 2-60)</x:v>
      </x:c>
      <x:c r="S8" s="34" t="n">
        <x:f>IF($O8="","",Resumen!$B$6)</x:f>
        <x:v>46323.625</x:v>
      </x:c>
      <x:c r="T8" s="33" t="str">
        <x:f t="shared" si="0"/>
        <x:v>REVISADO - FAIL</x:v>
      </x:c>
    </x:row>
    <x:row r="9" ht="72" customHeight="1">
      <x:c r="A9" s="29" t="s">
        <x:v>77</x:v>
      </x:c>
      <x:c r="B9" s="29" t="s">
        <x:v>57</x:v>
      </x:c>
      <x:c r="C9" s="29" t="s">
        <x:v>58</x:v>
      </x:c>
      <x:c r="D9" s="29" t="s">
        <x:v>59</x:v>
      </x:c>
      <x:c r="E9" s="30" t="s">
        <x:v>78</x:v>
      </x:c>
      <x:c r="F9" s="30" t="s">
        <x:v>30</x:v>
      </x:c>
      <x:c r="G9" s="30" t="s">
        <x:v>79</x:v>
      </x:c>
      <x:c r="H9" s="30" t="s">
        <x:v>80</x:v>
      </x:c>
      <x:c r="I9" s="30" t="s">
        <x:v>75</x:v>
      </x:c>
      <x:c r="J9" s="30" t="s">
        <x:v>76</x:v>
      </x:c>
      <x:c r="K9" s="31" t="str">
        <x:v>answered</x:v>
      </x:c>
      <x:c r="L9" s="32" t="str">
        <x:v>El corpus contempla riego por aspersión y por goteo en lechuga.
Fuentes visibles: Lechuga</x:v>
      </x:c>
      <x:c r="M9" s="31" t="str">
        <x:v>PASS</x:v>
      </x:c>
      <x:c r="N9" s="31" t="str">
        <x:v>PASS</x:v>
      </x:c>
      <x:c r="O9" s="31" t="str">
        <x:v>PASS</x:v>
      </x:c>
      <x:c r="P9" s="31" t="str">
        <x:v>SIN PROBLEMA</x:v>
      </x:c>
      <x:c r="Q9" s="32" t="str">
        <x:v>Coincide con el estado esperado; la respuesta y las fuentes visibles son coherentes con la referencia.</x:v>
      </x:c>
      <x:c r="R9" s="33" t="str">
        <x:f>IF($O9="","",Resumen!$B$5)</x:f>
        <x:v>Usuario (caso 1); Codex + Playwright (casos 2-60)</x:v>
      </x:c>
      <x:c r="S9" s="34" t="n">
        <x:f>IF($O9="","",Resumen!$B$6)</x:f>
        <x:v>46323.625</x:v>
      </x:c>
      <x:c r="T9" s="33" t="str">
        <x:f t="shared" si="0"/>
        <x:v>REVISADO - PASS</x:v>
      </x:c>
    </x:row>
    <x:row r="10" ht="72" customHeight="1">
      <x:c r="A10" s="29" t="s">
        <x:v>81</x:v>
      </x:c>
      <x:c r="B10" s="29" t="s">
        <x:v>57</x:v>
      </x:c>
      <x:c r="C10" s="29" t="s">
        <x:v>58</x:v>
      </x:c>
      <x:c r="D10" s="29" t="s">
        <x:v>82</x:v>
      </x:c>
      <x:c r="E10" s="30" t="s">
        <x:v>83</x:v>
      </x:c>
      <x:c r="F10" s="30" t="s">
        <x:v>30</x:v>
      </x:c>
      <x:c r="G10" s="30" t="s">
        <x:v>84</x:v>
      </x:c>
      <x:c r="H10" s="30" t="s">
        <x:v>85</x:v>
      </x:c>
      <x:c r="I10" s="30" t="s">
        <x:v>86</x:v>
      </x:c>
      <x:c r="J10" s="30" t="s">
        <x:v>87</x:v>
      </x:c>
      <x:c r="K10" s="31" t="str">
        <x:v>answered</x:v>
      </x:c>
      <x:c r="L10" s="32" t="str">
        <x:v>Se recomienda mantener el suelo con un 70% de su capacidad de retención máxima para el cultivo de tomate.
Fuentes visibles: Manual de cultivos para la huerta orgánica familiar</x:v>
      </x:c>
      <x:c r="M10" s="31" t="str">
        <x:v>PASS</x:v>
      </x:c>
      <x:c r="N10" s="31" t="str">
        <x:v>PASS</x:v>
      </x:c>
      <x:c r="O10" s="31" t="str">
        <x:v>PASS</x:v>
      </x:c>
      <x:c r="P10" s="31" t="str">
        <x:v>SIN PROBLEMA</x:v>
      </x:c>
      <x:c r="Q10" s="32" t="str">
        <x:v>Coincide con el estado esperado; la respuesta y las fuentes visibles son coherentes con la referencia.</x:v>
      </x:c>
      <x:c r="R10" s="33" t="str">
        <x:f>IF($O10="","",Resumen!$B$5)</x:f>
        <x:v>Usuario (caso 1); Codex + Playwright (casos 2-60)</x:v>
      </x:c>
      <x:c r="S10" s="34" t="n">
        <x:f>IF($O10="","",Resumen!$B$6)</x:f>
        <x:v>46323.625</x:v>
      </x:c>
      <x:c r="T10" s="33" t="str">
        <x:f t="shared" si="0"/>
        <x:v>REVISADO - PASS</x:v>
      </x:c>
    </x:row>
    <x:row r="11" ht="72" customHeight="1">
      <x:c r="A11" s="29" t="s">
        <x:v>88</x:v>
      </x:c>
      <x:c r="B11" s="29" t="s">
        <x:v>57</x:v>
      </x:c>
      <x:c r="C11" s="29" t="s">
        <x:v>58</x:v>
      </x:c>
      <x:c r="D11" s="29" t="s">
        <x:v>82</x:v>
      </x:c>
      <x:c r="E11" s="30" t="s">
        <x:v>89</x:v>
      </x:c>
      <x:c r="F11" s="30" t="s">
        <x:v>30</x:v>
      </x:c>
      <x:c r="G11" s="30" t="s">
        <x:v>90</x:v>
      </x:c>
      <x:c r="H11" s="30" t="s">
        <x:v>91</x:v>
      </x:c>
      <x:c r="I11" s="30" t="s">
        <x:v>86</x:v>
      </x:c>
      <x:c r="J11" s="30" t="s">
        <x:v>87</x:v>
      </x:c>
      <x:c r="K11" s="31" t="str">
        <x:v>answered</x:v>
      </x:c>
      <x:c r="L11" s="32" t="str">
        <x:v>Regar tomate por encima de la capacidad de retención del suelo puede dificultar o impedir la respiración de las raíces y provocar el lavado de sustancias que dan fertilidad al suelo.
Fuentes visibles: Manual de cultivos para la huerta orgánica familiar</x:v>
      </x:c>
      <x:c r="M11" s="31" t="str">
        <x:v>PASS</x:v>
      </x:c>
      <x:c r="N11" s="31" t="str">
        <x:v>PASS</x:v>
      </x:c>
      <x:c r="O11" s="31" t="str">
        <x:v>PASS</x:v>
      </x:c>
      <x:c r="P11" s="31" t="str">
        <x:v>SIN PROBLEMA</x:v>
      </x:c>
      <x:c r="Q11" s="32" t="str">
        <x:v>Coincide con el estado esperado; la respuesta y las fuentes visibles son coherentes con la referencia.</x:v>
      </x:c>
      <x:c r="R11" s="33" t="str">
        <x:f>IF($O11="","",Resumen!$B$5)</x:f>
        <x:v>Usuario (caso 1); Codex + Playwright (casos 2-60)</x:v>
      </x:c>
      <x:c r="S11" s="34" t="n">
        <x:f>IF($O11="","",Resumen!$B$6)</x:f>
        <x:v>46323.625</x:v>
      </x:c>
      <x:c r="T11" s="33" t="str">
        <x:f t="shared" si="0"/>
        <x:v>REVISADO - PASS</x:v>
      </x:c>
    </x:row>
    <x:row r="12" ht="72" customHeight="1">
      <x:c r="A12" s="29" t="s">
        <x:v>92</x:v>
      </x:c>
      <x:c r="B12" s="29" t="s">
        <x:v>57</x:v>
      </x:c>
      <x:c r="C12" s="29" t="s">
        <x:v>58</x:v>
      </x:c>
      <x:c r="D12" s="29" t="s">
        <x:v>82</x:v>
      </x:c>
      <x:c r="E12" s="30" t="s">
        <x:v>93</x:v>
      </x:c>
      <x:c r="F12" s="30" t="s">
        <x:v>30</x:v>
      </x:c>
      <x:c r="G12" s="30" t="s">
        <x:v>94</x:v>
      </x:c>
      <x:c r="H12" s="30" t="s">
        <x:v>95</x:v>
      </x:c>
      <x:c r="I12" s="30" t="s">
        <x:v>96</x:v>
      </x:c>
      <x:c r="J12" s="30" t="s">
        <x:v>97</x:v>
      </x:c>
      <x:c r="K12" s="31" t="str">
        <x:v>answered</x:v>
      </x:c>
      <x:c r="L12" s="32" t="str">
        <x:v>El período crítico del tomate frente a la falta de agua es durante el cuajado de frutos.
Fuentes visibles: Manual de cultivos para la huerta orgánica familiar</x:v>
      </x:c>
      <x:c r="M12" s="31" t="str">
        <x:v>FAIL</x:v>
      </x:c>
      <x:c r="N12" s="31" t="str">
        <x:v>PASS</x:v>
      </x:c>
      <x:c r="O12" s="31" t="str">
        <x:v>FAIL</x:v>
      </x:c>
      <x:c r="P12" s="31" t="str">
        <x:v>FALTA INFORMACIÓN</x:v>
      </x:c>
      <x:c r="Q12" s="32" t="str">
        <x:v>Identifica el cuajado, pero omite la recomendación de cuidar la frecuencia desde floración hasta maduración.</x:v>
      </x:c>
      <x:c r="R12" s="33" t="str">
        <x:f>IF($O12="","",Resumen!$B$5)</x:f>
        <x:v>Usuario (caso 1); Codex + Playwright (casos 2-60)</x:v>
      </x:c>
      <x:c r="S12" s="34" t="n">
        <x:f>IF($O12="","",Resumen!$B$6)</x:f>
        <x:v>46323.625</x:v>
      </x:c>
      <x:c r="T12" s="33" t="str">
        <x:f t="shared" si="0"/>
        <x:v>REVISADO - FAIL</x:v>
      </x:c>
    </x:row>
    <x:row r="13" ht="72" customHeight="1">
      <x:c r="A13" s="29" t="s">
        <x:v>98</x:v>
      </x:c>
      <x:c r="B13" s="29" t="s">
        <x:v>57</x:v>
      </x:c>
      <x:c r="C13" s="29" t="s">
        <x:v>58</x:v>
      </x:c>
      <x:c r="D13" s="29" t="s">
        <x:v>82</x:v>
      </x:c>
      <x:c r="E13" s="30" t="s">
        <x:v>99</x:v>
      </x:c>
      <x:c r="F13" s="30" t="s">
        <x:v>30</x:v>
      </x:c>
      <x:c r="G13" s="30" t="s">
        <x:v>100</x:v>
      </x:c>
      <x:c r="H13" s="30" t="s">
        <x:v>101</x:v>
      </x:c>
      <x:c r="I13" s="30" t="s">
        <x:v>102</x:v>
      </x:c>
      <x:c r="J13" s="30" t="s">
        <x:v>103</x:v>
      </x:c>
      <x:c r="K13" s="31" t="str">
        <x:v>answered</x:v>
      </x:c>
      <x:c r="L13" s="32" t="str">
        <x:v>Conviene aumentar la frecuencia de riego del tomate desde el inicio de la floración y mantenerla hasta la maduración del fruto.
Fuentes visibles: Recomendaciones generales para cultivar hortalizas: tomate</x:v>
      </x:c>
      <x:c r="M13" s="31" t="str">
        <x:v>PASS</x:v>
      </x:c>
      <x:c r="N13" s="31" t="str">
        <x:v>PASS</x:v>
      </x:c>
      <x:c r="O13" s="31" t="str">
        <x:v>PASS</x:v>
      </x:c>
      <x:c r="P13" s="31" t="str">
        <x:v>SIN PROBLEMA</x:v>
      </x:c>
      <x:c r="Q13" s="32" t="str">
        <x:v>Coincide con el estado esperado; la respuesta y las fuentes visibles son coherentes con la referencia.</x:v>
      </x:c>
      <x:c r="R13" s="33" t="str">
        <x:f>IF($O13="","",Resumen!$B$5)</x:f>
        <x:v>Usuario (caso 1); Codex + Playwright (casos 2-60)</x:v>
      </x:c>
      <x:c r="S13" s="34" t="n">
        <x:f>IF($O13="","",Resumen!$B$6)</x:f>
        <x:v>46323.625</x:v>
      </x:c>
      <x:c r="T13" s="33" t="str">
        <x:f t="shared" si="0"/>
        <x:v>REVISADO - PASS</x:v>
      </x:c>
    </x:row>
    <x:row r="14" ht="72" customHeight="1">
      <x:c r="A14" s="29" t="s">
        <x:v>104</x:v>
      </x:c>
      <x:c r="B14" s="29" t="s">
        <x:v>57</x:v>
      </x:c>
      <x:c r="C14" s="29" t="s">
        <x:v>58</x:v>
      </x:c>
      <x:c r="D14" s="29"/>
      <x:c r="E14" s="30" t="s">
        <x:v>105</x:v>
      </x:c>
      <x:c r="F14" s="30" t="s">
        <x:v>30</x:v>
      </x:c>
      <x:c r="G14" s="30" t="s">
        <x:v>106</x:v>
      </x:c>
      <x:c r="H14" s="30" t="s">
        <x:v>107</x:v>
      </x:c>
      <x:c r="I14" s="30" t="s">
        <x:v>108</x:v>
      </x:c>
      <x:c r="J14" s="30" t="s">
        <x:v>109</x:v>
      </x:c>
      <x:c r="K14" s="31" t="str">
        <x:v>answered</x:v>
      </x:c>
      <x:c r="L14" s="32" t="str">
        <x:v>La evapotranspiración es la combinación de la evaporación del agua desde el suelo y la transpiración del agua desde las hojas de las plantas.
Fuentes visibles: Riego en cultivos hortícolas: guía de programación y planificación de riego por goteo en el Oasis Norte de Mendoza</x:v>
      </x:c>
      <x:c r="M14" s="31" t="str">
        <x:v>PASS</x:v>
      </x:c>
      <x:c r="N14" s="31" t="str">
        <x:v>PASS</x:v>
      </x:c>
      <x:c r="O14" s="31" t="str">
        <x:v>PASS</x:v>
      </x:c>
      <x:c r="P14" s="31" t="str">
        <x:v>SIN PROBLEMA</x:v>
      </x:c>
      <x:c r="Q14" s="32" t="str">
        <x:v>Coincide con el estado esperado; la respuesta y las fuentes visibles son coherentes con la referencia.</x:v>
      </x:c>
      <x:c r="R14" s="33" t="str">
        <x:f>IF($O14="","",Resumen!$B$5)</x:f>
        <x:v>Usuario (caso 1); Codex + Playwright (casos 2-60)</x:v>
      </x:c>
      <x:c r="S14" s="34" t="n">
        <x:f>IF($O14="","",Resumen!$B$6)</x:f>
        <x:v>46323.625</x:v>
      </x:c>
      <x:c r="T14" s="33" t="str">
        <x:f t="shared" si="0"/>
        <x:v>REVISADO - PASS</x:v>
      </x:c>
    </x:row>
    <x:row r="15" ht="72" customHeight="1">
      <x:c r="A15" s="29" t="s">
        <x:v>110</x:v>
      </x:c>
      <x:c r="B15" s="29" t="s">
        <x:v>57</x:v>
      </x:c>
      <x:c r="C15" s="29" t="s">
        <x:v>58</x:v>
      </x:c>
      <x:c r="D15" s="29"/>
      <x:c r="E15" s="30" t="s">
        <x:v>111</x:v>
      </x:c>
      <x:c r="F15" s="30" t="s">
        <x:v>30</x:v>
      </x:c>
      <x:c r="G15" s="30" t="s">
        <x:v>112</x:v>
      </x:c>
      <x:c r="H15" s="30" t="s">
        <x:v>113</x:v>
      </x:c>
      <x:c r="I15" s="30" t="s">
        <x:v>108</x:v>
      </x:c>
      <x:c r="J15" s="30" t="s">
        <x:v>109</x:v>
      </x:c>
      <x:c r="K15" s="31" t="str">
        <x:v>answered</x:v>
      </x:c>
      <x:c r="L15" s="32" t="str">
        <x:v>La evapotranspiración (ET) está compuesta por la evaporación y la transpiración.
Fuentes visibles: Riego en cultivos hortícolas: guía de programación y planificación de riego por goteo en el Oasis Norte de Mendoza</x:v>
      </x:c>
      <x:c r="M15" s="31" t="str">
        <x:v>PASS</x:v>
      </x:c>
      <x:c r="N15" s="31" t="str">
        <x:v>PASS</x:v>
      </x:c>
      <x:c r="O15" s="31" t="str">
        <x:v>PASS</x:v>
      </x:c>
      <x:c r="P15" s="31" t="str">
        <x:v>SIN PROBLEMA</x:v>
      </x:c>
      <x:c r="Q15" s="32" t="str">
        <x:v>Coincide con el estado esperado; la respuesta y las fuentes visibles son coherentes con la referencia.</x:v>
      </x:c>
      <x:c r="R15" s="33" t="str">
        <x:f>IF($O15="","",Resumen!$B$5)</x:f>
        <x:v>Usuario (caso 1); Codex + Playwright (casos 2-60)</x:v>
      </x:c>
      <x:c r="S15" s="34" t="n">
        <x:f>IF($O15="","",Resumen!$B$6)</x:f>
        <x:v>46323.625</x:v>
      </x:c>
      <x:c r="T15" s="33" t="str">
        <x:f t="shared" si="0"/>
        <x:v>REVISADO - PASS</x:v>
      </x:c>
    </x:row>
    <x:row r="16" ht="72" customHeight="1">
      <x:c r="A16" s="29" t="s">
        <x:v>114</x:v>
      </x:c>
      <x:c r="B16" s="29" t="s">
        <x:v>57</x:v>
      </x:c>
      <x:c r="C16" s="29" t="s">
        <x:v>58</x:v>
      </x:c>
      <x:c r="D16" s="29"/>
      <x:c r="E16" s="30" t="s">
        <x:v>115</x:v>
      </x:c>
      <x:c r="F16" s="30" t="s">
        <x:v>30</x:v>
      </x:c>
      <x:c r="G16" s="30" t="s">
        <x:v>116</x:v>
      </x:c>
      <x:c r="H16" s="30" t="s">
        <x:v>117</x:v>
      </x:c>
      <x:c r="I16" s="30" t="s">
        <x:v>118</x:v>
      </x:c>
      <x:c r="J16" s="30" t="s">
        <x:v>119</x:v>
      </x:c>
      <x:c r="K16" s="31" t="str">
        <x:v>answered</x:v>
      </x:c>
      <x:c r="L16" s="32" t="str">
        <x:v>Los cultivos pierden principalmente agua a través de los estomas en las hojas, un proceso conocido como transpiración.
Fuentes visibles: Crop evapotranspiration: Guidelines for computing crop water requirements</x:v>
      </x:c>
      <x:c r="M16" s="31" t="str">
        <x:v>PASS</x:v>
      </x:c>
      <x:c r="N16" s="31" t="str">
        <x:v>PASS</x:v>
      </x:c>
      <x:c r="O16" s="31" t="str">
        <x:v>PASS</x:v>
      </x:c>
      <x:c r="P16" s="31" t="str">
        <x:v>SIN PROBLEMA</x:v>
      </x:c>
      <x:c r="Q16" s="32" t="str">
        <x:v>Coincide con el estado esperado; la respuesta y las fuentes visibles son coherentes con la referencia.</x:v>
      </x:c>
      <x:c r="R16" s="33" t="str">
        <x:f>IF($O16="","",Resumen!$B$5)</x:f>
        <x:v>Usuario (caso 1); Codex + Playwright (casos 2-60)</x:v>
      </x:c>
      <x:c r="S16" s="34" t="n">
        <x:f>IF($O16="","",Resumen!$B$6)</x:f>
        <x:v>46323.625</x:v>
      </x:c>
      <x:c r="T16" s="33" t="str">
        <x:f t="shared" si="0"/>
        <x:v>REVISADO - PASS</x:v>
      </x:c>
    </x:row>
    <x:row r="17" ht="72" customHeight="1">
      <x:c r="A17" s="29" t="s">
        <x:v>120</x:v>
      </x:c>
      <x:c r="B17" s="29" t="s">
        <x:v>57</x:v>
      </x:c>
      <x:c r="C17" s="29" t="s">
        <x:v>58</x:v>
      </x:c>
      <x:c r="D17" s="29"/>
      <x:c r="E17" s="30" t="s">
        <x:v>121</x:v>
      </x:c>
      <x:c r="F17" s="30" t="s">
        <x:v>30</x:v>
      </x:c>
      <x:c r="G17" s="30" t="s">
        <x:v>122</x:v>
      </x:c>
      <x:c r="H17" s="30" t="s">
        <x:v>123</x:v>
      </x:c>
      <x:c r="I17" s="30" t="s">
        <x:v>118</x:v>
      </x:c>
      <x:c r="J17" s="30" t="s">
        <x:v>124</x:v>
      </x:c>
      <x:c r="K17" s="31" t="str">
        <x:v>answered</x:v>
      </x:c>
      <x:c r="L17" s="32" t="str">
        <x:v>Los factores a considerar al evaluar la transpiración incluyen la radiación, la temperatura del aire, la humedad del aire, el viento, el contenido de agua del suelo, la capacidad del suelo para conducir agua a las raíces, el anegamiento, la salinidad del agua del suelo, las características del cultivo, los aspectos ambientales y las prácticas de cultivo.
Fuentes visibles: Crop evapotranspiration: Guidelines for computing crop water requirements</x:v>
      </x:c>
      <x:c r="M17" s="31" t="str">
        <x:v>PASS</x:v>
      </x:c>
      <x:c r="N17" s="31" t="str">
        <x:v>PASS</x:v>
      </x:c>
      <x:c r="O17" s="31" t="str">
        <x:v>PASS</x:v>
      </x:c>
      <x:c r="P17" s="31" t="str">
        <x:v>SIN PROBLEMA</x:v>
      </x:c>
      <x:c r="Q17" s="32" t="str">
        <x:v>Coincide con el estado esperado; la respuesta y las fuentes visibles son coherentes con la referencia.</x:v>
      </x:c>
      <x:c r="R17" s="33" t="str">
        <x:f>IF($O17="","",Resumen!$B$5)</x:f>
        <x:v>Usuario (caso 1); Codex + Playwright (casos 2-60)</x:v>
      </x:c>
      <x:c r="S17" s="34" t="n">
        <x:f>IF($O17="","",Resumen!$B$6)</x:f>
        <x:v>46323.625</x:v>
      </x:c>
      <x:c r="T17" s="33" t="str">
        <x:f t="shared" si="0"/>
        <x:v>REVISADO - PASS</x:v>
      </x:c>
    </x:row>
    <x:row r="18" ht="72" customHeight="1">
      <x:c r="A18" s="29" t="s">
        <x:v>125</x:v>
      </x:c>
      <x:c r="B18" s="29" t="s">
        <x:v>57</x:v>
      </x:c>
      <x:c r="C18" s="29" t="s">
        <x:v>58</x:v>
      </x:c>
      <x:c r="D18" s="29"/>
      <x:c r="E18" s="30" t="s">
        <x:v>126</x:v>
      </x:c>
      <x:c r="F18" s="30" t="s">
        <x:v>30</x:v>
      </x:c>
      <x:c r="G18" s="30" t="s">
        <x:v>127</x:v>
      </x:c>
      <x:c r="H18" s="30" t="s">
        <x:v>128</x:v>
      </x:c>
      <x:c r="I18" s="30" t="s">
        <x:v>129</x:v>
      </x:c>
      <x:c r="J18" s="30" t="s">
        <x:v>130</x:v>
      </x:c>
      <x:c r="K18" s="31" t="str">
        <x:v>answered</x:v>
      </x:c>
      <x:c r="L18" s="32" t="str">
        <x:v>La capacidad de campo (CC) es la cantidad de agua que un suelo puede retener contra las fuerzas de gravedad luego de su saturación.
El punto de marchitez permanente (PMP) es la cantidad de agua remanente en el suelo que las plantas no pueden extraer.
Fuentes visibles: Riego en cultivos hortícolas: guía de programación y planificación de riego por goteo en el Oasis Norte de Mendoza</x:v>
      </x:c>
      <x:c r="M18" s="31" t="str">
        <x:v>PASS</x:v>
      </x:c>
      <x:c r="N18" s="31" t="str">
        <x:v>PASS</x:v>
      </x:c>
      <x:c r="O18" s="31" t="str">
        <x:v>PASS</x:v>
      </x:c>
      <x:c r="P18" s="31" t="str">
        <x:v>SIN PROBLEMA</x:v>
      </x:c>
      <x:c r="Q18" s="32" t="str">
        <x:v>Coincide con el estado esperado; la respuesta y las fuentes visibles son coherentes con la referencia.</x:v>
      </x:c>
      <x:c r="R18" s="33" t="str">
        <x:f>IF($O18="","",Resumen!$B$5)</x:f>
        <x:v>Usuario (caso 1); Codex + Playwright (casos 2-60)</x:v>
      </x:c>
      <x:c r="S18" s="34" t="n">
        <x:f>IF($O18="","",Resumen!$B$6)</x:f>
        <x:v>46323.625</x:v>
      </x:c>
      <x:c r="T18" s="33" t="str">
        <x:f t="shared" si="0"/>
        <x:v>REVISADO - PASS</x:v>
      </x:c>
    </x:row>
    <x:row r="19" ht="72" customHeight="1">
      <x:c r="A19" s="29" t="s">
        <x:v>131</x:v>
      </x:c>
      <x:c r="B19" s="29" t="s">
        <x:v>57</x:v>
      </x:c>
      <x:c r="C19" s="29" t="s">
        <x:v>58</x:v>
      </x:c>
      <x:c r="D19" s="29"/>
      <x:c r="E19" s="30" t="s">
        <x:v>132</x:v>
      </x:c>
      <x:c r="F19" s="30" t="s">
        <x:v>30</x:v>
      </x:c>
      <x:c r="G19" s="30" t="s">
        <x:v>133</x:v>
      </x:c>
      <x:c r="H19" s="30" t="s">
        <x:v>134</x:v>
      </x:c>
      <x:c r="I19" s="30" t="s">
        <x:v>129</x:v>
      </x:c>
      <x:c r="J19" s="30" t="s">
        <x:v>130</x:v>
      </x:c>
      <x:c r="K19" s="31" t="str">
        <x:v>answered</x:v>
      </x:c>
      <x:c r="L19" s="32" t="str">
        <x:v>El agua disponible total en el suelo (ADT) se define como la diferencia entre la capacidad de campo (CC) y el punto de marchitez permanente (PMP).
Fuentes visibles: Riego en cultivos hortícolas: guía de programación y planificación de riego por goteo en el Oasis Norte de Mendoza</x:v>
      </x:c>
      <x:c r="M19" s="31" t="str">
        <x:v>PASS</x:v>
      </x:c>
      <x:c r="N19" s="31" t="str">
        <x:v>PASS</x:v>
      </x:c>
      <x:c r="O19" s="31" t="str">
        <x:v>PASS</x:v>
      </x:c>
      <x:c r="P19" s="31" t="str">
        <x:v>SIN PROBLEMA</x:v>
      </x:c>
      <x:c r="Q19" s="32" t="str">
        <x:v>Coincide con el estado esperado; la respuesta y las fuentes visibles son coherentes con la referencia.</x:v>
      </x:c>
      <x:c r="R19" s="33" t="str">
        <x:f>IF($O19="","",Resumen!$B$5)</x:f>
        <x:v>Usuario (caso 1); Codex + Playwright (casos 2-60)</x:v>
      </x:c>
      <x:c r="S19" s="34" t="n">
        <x:f>IF($O19="","",Resumen!$B$6)</x:f>
        <x:v>46323.625</x:v>
      </x:c>
      <x:c r="T19" s="33" t="str">
        <x:f t="shared" si="0"/>
        <x:v>REVISADO - PASS</x:v>
      </x:c>
    </x:row>
    <x:row r="20" ht="72" customHeight="1">
      <x:c r="A20" s="29" t="s">
        <x:v>135</x:v>
      </x:c>
      <x:c r="B20" s="29" t="s">
        <x:v>57</x:v>
      </x:c>
      <x:c r="C20" s="29" t="s">
        <x:v>58</x:v>
      </x:c>
      <x:c r="D20" s="29"/>
      <x:c r="E20" s="30" t="s">
        <x:v>136</x:v>
      </x:c>
      <x:c r="F20" s="30" t="s">
        <x:v>30</x:v>
      </x:c>
      <x:c r="G20" s="30" t="s">
        <x:v>137</x:v>
      </x:c>
      <x:c r="H20" s="30" t="s">
        <x:v>138</x:v>
      </x:c>
      <x:c r="I20" s="30" t="s">
        <x:v>139</x:v>
      </x:c>
      <x:c r="J20" s="30" t="s">
        <x:v>140</x:v>
      </x:c>
      <x:c r="K20" s="31" t="str">
        <x:v>answered</x:v>
      </x:c>
      <x:c r="L20" s="32" t="str">
        <x:v>Las variables meteorológicas consideradas para ajustar la programación del riego son temperatura, humedad, precipitación, viento y radiación.
Fuentes visibles: Riego en cultivos hortícolas: guía de programación y planificación de riego por goteo en el Oasis Norte de Mendoza</x:v>
      </x:c>
      <x:c r="M20" s="31" t="str">
        <x:v>PASS</x:v>
      </x:c>
      <x:c r="N20" s="31" t="str">
        <x:v>PASS</x:v>
      </x:c>
      <x:c r="O20" s="31" t="str">
        <x:v>PASS</x:v>
      </x:c>
      <x:c r="P20" s="31" t="str">
        <x:v>SIN PROBLEMA</x:v>
      </x:c>
      <x:c r="Q20" s="32" t="str">
        <x:v>Coincide con el estado esperado; la respuesta y las fuentes visibles son coherentes con la referencia.</x:v>
      </x:c>
      <x:c r="R20" s="33" t="str">
        <x:f>IF($O20="","",Resumen!$B$5)</x:f>
        <x:v>Usuario (caso 1); Codex + Playwright (casos 2-60)</x:v>
      </x:c>
      <x:c r="S20" s="34" t="n">
        <x:f>IF($O20="","",Resumen!$B$6)</x:f>
        <x:v>46323.625</x:v>
      </x:c>
      <x:c r="T20" s="33" t="str">
        <x:f t="shared" si="0"/>
        <x:v>REVISADO - PASS</x:v>
      </x:c>
    </x:row>
    <x:row r="21" ht="72" customHeight="1">
      <x:c r="A21" s="29" t="s">
        <x:v>141</x:v>
      </x:c>
      <x:c r="B21" s="29" t="s">
        <x:v>57</x:v>
      </x:c>
      <x:c r="C21" s="29" t="s">
        <x:v>58</x:v>
      </x:c>
      <x:c r="D21" s="29"/>
      <x:c r="E21" s="30" t="s">
        <x:v>142</x:v>
      </x:c>
      <x:c r="F21" s="30" t="s">
        <x:v>30</x:v>
      </x:c>
      <x:c r="G21" s="30" t="s">
        <x:v>143</x:v>
      </x:c>
      <x:c r="H21" s="30" t="s">
        <x:v>144</x:v>
      </x:c>
      <x:c r="I21" s="30" t="s">
        <x:v>139</x:v>
      </x:c>
      <x:c r="J21" s="30" t="s">
        <x:v>145</x:v>
      </x:c>
      <x:c r="K21" s="31" t="str">
        <x:v>answered</x:v>
      </x:c>
      <x:c r="L21" s="32" t="str">
        <x:v>El monitoreo de la humedad del suelo puede realizarse mediante métodos directos como el gravimétrico o tensiómetros, y métodos indirectos como sensores de humedad de suelo o bloques de yeso.
Fuentes visibles: Riego en cultivos hortícolas: guía de programación y planificación de riego por goteo en el Oasis Norte de Mendoza</x:v>
      </x:c>
      <x:c r="M21" s="31" t="str">
        <x:v>FAIL</x:v>
      </x:c>
      <x:c r="N21" s="31" t="str">
        <x:v>FAIL</x:v>
      </x:c>
      <x:c r="O21" s="31" t="str">
        <x:v>FAIL</x:v>
      </x:c>
      <x:c r="P21" s="31" t="str">
        <x:v>RESPUESTA FACTUAL INCORRECTA</x:v>
      </x:c>
      <x:c r="Q21" s="32" t="str">
        <x:v>Clasifica tensiómetros como método directo de humedad; la referencia los vincula con la energía de retención y distingue el gravimétrico de los sensores indirectos.</x:v>
      </x:c>
      <x:c r="R21" s="33" t="str">
        <x:f>IF($O21="","",Resumen!$B$5)</x:f>
        <x:v>Usuario (caso 1); Codex + Playwright (casos 2-60)</x:v>
      </x:c>
      <x:c r="S21" s="34" t="n">
        <x:f>IF($O21="","",Resumen!$B$6)</x:f>
        <x:v>46323.625</x:v>
      </x:c>
      <x:c r="T21" s="33" t="str">
        <x:f t="shared" si="0"/>
        <x:v>REVISADO - FAIL</x:v>
      </x:c>
    </x:row>
    <x:row r="22" ht="72" customHeight="1">
      <x:c r="A22" s="29" t="s">
        <x:v>146</x:v>
      </x:c>
      <x:c r="B22" s="29" t="s">
        <x:v>57</x:v>
      </x:c>
      <x:c r="C22" s="29" t="s">
        <x:v>58</x:v>
      </x:c>
      <x:c r="D22" s="29" t="s">
        <x:v>59</x:v>
      </x:c>
      <x:c r="E22" s="30" t="s">
        <x:v>147</x:v>
      </x:c>
      <x:c r="F22" s="30" t="s">
        <x:v>30</x:v>
      </x:c>
      <x:c r="G22" s="30" t="s">
        <x:v>148</x:v>
      </x:c>
      <x:c r="H22" s="30" t="s">
        <x:v>149</x:v>
      </x:c>
      <x:c r="I22" s="30" t="s">
        <x:v>150</x:v>
      </x:c>
      <x:c r="J22" s="30" t="s">
        <x:v>151</x:v>
      </x:c>
      <x:c r="K22" s="31" t="str">
        <x:v>answered</x:v>
      </x:c>
      <x:c r="L22" s="32" t="str">
        <x:v>La conductividad eléctrica del agua de riego para lechuga debería mantenerse en valores menores a 0,9 dS m-1.
Fuentes visibles: Lechuga</x:v>
      </x:c>
      <x:c r="M22" s="31" t="str">
        <x:v>FAIL</x:v>
      </x:c>
      <x:c r="N22" s="31" t="str">
        <x:v>PASS</x:v>
      </x:c>
      <x:c r="O22" s="31" t="str">
        <x:v>FAIL</x:v>
      </x:c>
      <x:c r="P22" s="31" t="str">
        <x:v>FALTA INFORMACIÓN</x:v>
      </x:c>
      <x:c r="Q22" s="32" t="str">
        <x:v>Informa el límite de 0,9 dS/m, pero omite la disminución potencial de 10 % a 1,4 dS/m.</x:v>
      </x:c>
      <x:c r="R22" s="33" t="str">
        <x:f>IF($O22="","",Resumen!$B$5)</x:f>
        <x:v>Usuario (caso 1); Codex + Playwright (casos 2-60)</x:v>
      </x:c>
      <x:c r="S22" s="34" t="n">
        <x:f>IF($O22="","",Resumen!$B$6)</x:f>
        <x:v>46323.625</x:v>
      </x:c>
      <x:c r="T22" s="33" t="str">
        <x:f t="shared" si="0"/>
        <x:v>REVISADO - FAIL</x:v>
      </x:c>
    </x:row>
    <x:row r="23" ht="72" customHeight="1">
      <x:c r="A23" s="29" t="s">
        <x:v>152</x:v>
      </x:c>
      <x:c r="B23" s="29" t="s">
        <x:v>57</x:v>
      </x:c>
      <x:c r="C23" s="29" t="s">
        <x:v>58</x:v>
      </x:c>
      <x:c r="D23" s="29" t="s">
        <x:v>59</x:v>
      </x:c>
      <x:c r="E23" s="30" t="s">
        <x:v>153</x:v>
      </x:c>
      <x:c r="F23" s="30" t="s">
        <x:v>30</x:v>
      </x:c>
      <x:c r="G23" s="30" t="s">
        <x:v>154</x:v>
      </x:c>
      <x:c r="H23" s="30" t="s">
        <x:v>155</x:v>
      </x:c>
      <x:c r="I23" s="30" t="s">
        <x:v>150</x:v>
      </x:c>
      <x:c r="J23" s="30" t="s">
        <x:v>151</x:v>
      </x:c>
      <x:c r="K23" s="31" t="str">
        <x:v>answered</x:v>
      </x:c>
      <x:c r="L23" s="32" t="str">
        <x:v>La salinidad alta en el agua de riego aumenta la presión osmótica en la solución del suelo, dificultando la absorción de agua por la lechuga y causando 'sequía fisiológica'.
Fuentes visibles: Lechuga</x:v>
      </x:c>
      <x:c r="M23" s="31" t="str">
        <x:v>PASS</x:v>
      </x:c>
      <x:c r="N23" s="31" t="str">
        <x:v>PASS</x:v>
      </x:c>
      <x:c r="O23" s="31" t="str">
        <x:v>PASS</x:v>
      </x:c>
      <x:c r="P23" s="31" t="str">
        <x:v>SIN PROBLEMA</x:v>
      </x:c>
      <x:c r="Q23" s="32" t="str">
        <x:v>Coincide con el estado esperado; la respuesta y las fuentes visibles son coherentes con la referencia.</x:v>
      </x:c>
      <x:c r="R23" s="33" t="str">
        <x:f>IF($O23="","",Resumen!$B$5)</x:f>
        <x:v>Usuario (caso 1); Codex + Playwright (casos 2-60)</x:v>
      </x:c>
      <x:c r="S23" s="34" t="n">
        <x:f>IF($O23="","",Resumen!$B$6)</x:f>
        <x:v>46323.625</x:v>
      </x:c>
      <x:c r="T23" s="33" t="str">
        <x:f t="shared" si="0"/>
        <x:v>REVISADO - PASS</x:v>
      </x:c>
    </x:row>
    <x:row r="24" ht="72" customHeight="1">
      <x:c r="A24" s="29" t="s">
        <x:v>156</x:v>
      </x:c>
      <x:c r="B24" s="29" t="s">
        <x:v>57</x:v>
      </x:c>
      <x:c r="C24" s="29" t="s">
        <x:v>157</x:v>
      </x:c>
      <x:c r="D24" s="29" t="s">
        <x:v>82</x:v>
      </x:c>
      <x:c r="E24" s="30" t="s">
        <x:v>158</x:v>
      </x:c>
      <x:c r="F24" s="30" t="s">
        <x:v>32</x:v>
      </x:c>
      <x:c r="G24" s="30"/>
      <x:c r="H24" s="30"/>
      <x:c r="I24" s="30"/>
      <x:c r="J24" s="30"/>
      <x:c r="K24" s="31" t="str">
        <x:v>insufficient_evidence</x:v>
      </x:c>
      <x:c r="L24" s="32" t="str">
        <x:v>No hay evidencia suficiente para una respuesta verificada.</x:v>
      </x:c>
      <x:c r="M24" s="31" t="str">
        <x:v>NO APLICA</x:v>
      </x:c>
      <x:c r="N24" s="31" t="str">
        <x:v>NO APLICA</x:v>
      </x:c>
      <x:c r="O24" s="31" t="str">
        <x:v>PASS</x:v>
      </x:c>
      <x:c r="P24" s="31" t="str">
        <x:v>SIN PROBLEMA</x:v>
      </x:c>
      <x:c r="Q24" s="32" t="str">
        <x:v>Coincide con el estado esperado; la revisión factual y de citas no aplica.</x:v>
      </x:c>
      <x:c r="R24" s="33" t="str">
        <x:f>IF($O24="","",Resumen!$B$5)</x:f>
        <x:v>Usuario (caso 1); Codex + Playwright (casos 2-60)</x:v>
      </x:c>
      <x:c r="S24" s="34" t="n">
        <x:f>IF($O24="","",Resumen!$B$6)</x:f>
        <x:v>46323.625</x:v>
      </x:c>
      <x:c r="T24" s="33" t="str">
        <x:f t="shared" si="0"/>
        <x:v>REVISADO - PASS</x:v>
      </x:c>
    </x:row>
    <x:row r="25" ht="72" customHeight="1">
      <x:c r="A25" s="29" t="s">
        <x:v>159</x:v>
      </x:c>
      <x:c r="B25" s="29" t="s">
        <x:v>57</x:v>
      </x:c>
      <x:c r="C25" s="29" t="s">
        <x:v>157</x:v>
      </x:c>
      <x:c r="D25" s="29" t="s">
        <x:v>82</x:v>
      </x:c>
      <x:c r="E25" s="30" t="s">
        <x:v>160</x:v>
      </x:c>
      <x:c r="F25" s="30" t="s">
        <x:v>32</x:v>
      </x:c>
      <x:c r="G25" s="30"/>
      <x:c r="H25" s="30"/>
      <x:c r="I25" s="30"/>
      <x:c r="J25" s="30"/>
      <x:c r="K25" s="31" t="str">
        <x:v>insufficient_evidence</x:v>
      </x:c>
      <x:c r="L25" s="32" t="str">
        <x:v>No hay evidencia suficiente para una respuesta verificada.</x:v>
      </x:c>
      <x:c r="M25" s="31" t="str">
        <x:v>NO APLICA</x:v>
      </x:c>
      <x:c r="N25" s="31" t="str">
        <x:v>NO APLICA</x:v>
      </x:c>
      <x:c r="O25" s="31" t="str">
        <x:v>PASS</x:v>
      </x:c>
      <x:c r="P25" s="31" t="str">
        <x:v>SIN PROBLEMA</x:v>
      </x:c>
      <x:c r="Q25" s="32" t="str">
        <x:v>Coincide con el estado esperado; la revisión factual y de citas no aplica.</x:v>
      </x:c>
      <x:c r="R25" s="33" t="str">
        <x:f>IF($O25="","",Resumen!$B$5)</x:f>
        <x:v>Usuario (caso 1); Codex + Playwright (casos 2-60)</x:v>
      </x:c>
      <x:c r="S25" s="34" t="n">
        <x:f>IF($O25="","",Resumen!$B$6)</x:f>
        <x:v>46323.625</x:v>
      </x:c>
      <x:c r="T25" s="33" t="str">
        <x:f t="shared" si="0"/>
        <x:v>REVISADO - PASS</x:v>
      </x:c>
    </x:row>
    <x:row r="26" ht="72" customHeight="1">
      <x:c r="A26" s="29" t="s">
        <x:v>161</x:v>
      </x:c>
      <x:c r="B26" s="29" t="s">
        <x:v>57</x:v>
      </x:c>
      <x:c r="C26" s="29" t="s">
        <x:v>157</x:v>
      </x:c>
      <x:c r="D26" s="29" t="s">
        <x:v>59</x:v>
      </x:c>
      <x:c r="E26" s="30" t="s">
        <x:v>162</x:v>
      </x:c>
      <x:c r="F26" s="30" t="s">
        <x:v>32</x:v>
      </x:c>
      <x:c r="G26" s="30"/>
      <x:c r="H26" s="30"/>
      <x:c r="I26" s="30"/>
      <x:c r="J26" s="30"/>
      <x:c r="K26" s="31" t="str">
        <x:v>insufficient_evidence</x:v>
      </x:c>
      <x:c r="L26" s="32" t="str">
        <x:v>No hay evidencia suficiente para una respuesta verificada.</x:v>
      </x:c>
      <x:c r="M26" s="31" t="str">
        <x:v>NO APLICA</x:v>
      </x:c>
      <x:c r="N26" s="31" t="str">
        <x:v>NO APLICA</x:v>
      </x:c>
      <x:c r="O26" s="31" t="str">
        <x:v>PASS</x:v>
      </x:c>
      <x:c r="P26" s="31" t="str">
        <x:v>SIN PROBLEMA</x:v>
      </x:c>
      <x:c r="Q26" s="32" t="str">
        <x:v>Coincide con el estado esperado; la revisión factual y de citas no aplica.</x:v>
      </x:c>
      <x:c r="R26" s="33" t="str">
        <x:f>IF($O26="","",Resumen!$B$5)</x:f>
        <x:v>Usuario (caso 1); Codex + Playwright (casos 2-60)</x:v>
      </x:c>
      <x:c r="S26" s="34" t="n">
        <x:f>IF($O26="","",Resumen!$B$6)</x:f>
        <x:v>46323.625</x:v>
      </x:c>
      <x:c r="T26" s="33" t="str">
        <x:f t="shared" si="0"/>
        <x:v>REVISADO - PASS</x:v>
      </x:c>
    </x:row>
    <x:row r="27" ht="72" customHeight="1">
      <x:c r="A27" s="29" t="s">
        <x:v>163</x:v>
      </x:c>
      <x:c r="B27" s="29" t="s">
        <x:v>57</x:v>
      </x:c>
      <x:c r="C27" s="29" t="s">
        <x:v>157</x:v>
      </x:c>
      <x:c r="D27" s="29"/>
      <x:c r="E27" s="30" t="s">
        <x:v>164</x:v>
      </x:c>
      <x:c r="F27" s="30" t="s">
        <x:v>32</x:v>
      </x:c>
      <x:c r="G27" s="30"/>
      <x:c r="H27" s="30"/>
      <x:c r="I27" s="30"/>
      <x:c r="J27" s="30"/>
      <x:c r="K27" s="31" t="str">
        <x:v>insufficient_evidence</x:v>
      </x:c>
      <x:c r="L27" s="32" t="str">
        <x:v>No hay evidencia suficiente para una respuesta verificada.</x:v>
      </x:c>
      <x:c r="M27" s="31" t="str">
        <x:v>NO APLICA</x:v>
      </x:c>
      <x:c r="N27" s="31" t="str">
        <x:v>NO APLICA</x:v>
      </x:c>
      <x:c r="O27" s="31" t="str">
        <x:v>PASS</x:v>
      </x:c>
      <x:c r="P27" s="31" t="str">
        <x:v>SIN PROBLEMA</x:v>
      </x:c>
      <x:c r="Q27" s="32" t="str">
        <x:v>Coincide con el estado esperado; la revisión factual y de citas no aplica.</x:v>
      </x:c>
      <x:c r="R27" s="33" t="str">
        <x:f>IF($O27="","",Resumen!$B$5)</x:f>
        <x:v>Usuario (caso 1); Codex + Playwright (casos 2-60)</x:v>
      </x:c>
      <x:c r="S27" s="34" t="n">
        <x:f>IF($O27="","",Resumen!$B$6)</x:f>
        <x:v>46323.625</x:v>
      </x:c>
      <x:c r="T27" s="33" t="str">
        <x:f t="shared" si="0"/>
        <x:v>REVISADO - PASS</x:v>
      </x:c>
    </x:row>
    <x:row r="28" ht="72" customHeight="1">
      <x:c r="A28" s="29" t="s">
        <x:v>165</x:v>
      </x:c>
      <x:c r="B28" s="29" t="s">
        <x:v>57</x:v>
      </x:c>
      <x:c r="C28" s="29" t="s">
        <x:v>157</x:v>
      </x:c>
      <x:c r="D28" s="29"/>
      <x:c r="E28" s="30" t="s">
        <x:v>166</x:v>
      </x:c>
      <x:c r="F28" s="30" t="s">
        <x:v>32</x:v>
      </x:c>
      <x:c r="G28" s="30"/>
      <x:c r="H28" s="30"/>
      <x:c r="I28" s="30"/>
      <x:c r="J28" s="30"/>
      <x:c r="K28" s="31" t="str">
        <x:v>insufficient_evidence</x:v>
      </x:c>
      <x:c r="L28" s="32" t="str">
        <x:v>No hay evidencia suficiente para una respuesta verificada.</x:v>
      </x:c>
      <x:c r="M28" s="31" t="str">
        <x:v>NO APLICA</x:v>
      </x:c>
      <x:c r="N28" s="31" t="str">
        <x:v>NO APLICA</x:v>
      </x:c>
      <x:c r="O28" s="31" t="str">
        <x:v>PASS</x:v>
      </x:c>
      <x:c r="P28" s="31" t="str">
        <x:v>SIN PROBLEMA</x:v>
      </x:c>
      <x:c r="Q28" s="32" t="str">
        <x:v>Coincide con el estado esperado; la revisión factual y de citas no aplica.</x:v>
      </x:c>
      <x:c r="R28" s="33" t="str">
        <x:f>IF($O28="","",Resumen!$B$5)</x:f>
        <x:v>Usuario (caso 1); Codex + Playwright (casos 2-60)</x:v>
      </x:c>
      <x:c r="S28" s="34" t="n">
        <x:f>IF($O28="","",Resumen!$B$6)</x:f>
        <x:v>46323.625</x:v>
      </x:c>
      <x:c r="T28" s="33" t="str">
        <x:f t="shared" si="0"/>
        <x:v>REVISADO - PASS</x:v>
      </x:c>
    </x:row>
    <x:row r="29" ht="72" customHeight="1">
      <x:c r="A29" s="29" t="s">
        <x:v>167</x:v>
      </x:c>
      <x:c r="B29" s="29" t="s">
        <x:v>57</x:v>
      </x:c>
      <x:c r="C29" s="29" t="s">
        <x:v>157</x:v>
      </x:c>
      <x:c r="D29" s="29" t="s">
        <x:v>82</x:v>
      </x:c>
      <x:c r="E29" s="30" t="s">
        <x:v>168</x:v>
      </x:c>
      <x:c r="F29" s="30" t="s">
        <x:v>32</x:v>
      </x:c>
      <x:c r="G29" s="30"/>
      <x:c r="H29" s="30"/>
      <x:c r="I29" s="30"/>
      <x:c r="J29" s="30"/>
      <x:c r="K29" s="31" t="str">
        <x:v>insufficient_evidence</x:v>
      </x:c>
      <x:c r="L29" s="32" t="str">
        <x:v>No hay evidencia suficiente para una respuesta verificada.</x:v>
      </x:c>
      <x:c r="M29" s="31" t="str">
        <x:v>NO APLICA</x:v>
      </x:c>
      <x:c r="N29" s="31" t="str">
        <x:v>NO APLICA</x:v>
      </x:c>
      <x:c r="O29" s="31" t="str">
        <x:v>PASS</x:v>
      </x:c>
      <x:c r="P29" s="31" t="str">
        <x:v>SIN PROBLEMA</x:v>
      </x:c>
      <x:c r="Q29" s="32" t="str">
        <x:v>Coincide con el estado esperado; la revisión factual y de citas no aplica.</x:v>
      </x:c>
      <x:c r="R29" s="33" t="str">
        <x:f>IF($O29="","",Resumen!$B$5)</x:f>
        <x:v>Usuario (caso 1); Codex + Playwright (casos 2-60)</x:v>
      </x:c>
      <x:c r="S29" s="34" t="n">
        <x:f>IF($O29="","",Resumen!$B$6)</x:f>
        <x:v>46323.625</x:v>
      </x:c>
      <x:c r="T29" s="33" t="str">
        <x:f t="shared" si="0"/>
        <x:v>REVISADO - PASS</x:v>
      </x:c>
    </x:row>
    <x:row r="30" ht="72" customHeight="1">
      <x:c r="A30" s="29" t="s">
        <x:v>169</x:v>
      </x:c>
      <x:c r="B30" s="29" t="s">
        <x:v>57</x:v>
      </x:c>
      <x:c r="C30" s="29" t="s">
        <x:v>170</x:v>
      </x:c>
      <x:c r="D30" s="29"/>
      <x:c r="E30" s="30" t="s">
        <x:v>171</x:v>
      </x:c>
      <x:c r="F30" s="30" t="s">
        <x:v>31</x:v>
      </x:c>
      <x:c r="G30" s="30"/>
      <x:c r="H30" s="30"/>
      <x:c r="I30" s="30"/>
      <x:c r="J30" s="30"/>
      <x:c r="K30" s="31" t="str">
        <x:v>needs_clarification</x:v>
      </x:c>
      <x:c r="L30" s="32" t="str">
        <x:v>Falta contexto para responder:
Especificar el cultivo (tomate o lechuga) para proporcionar información adecuada sobre el riego.</x:v>
      </x:c>
      <x:c r="M30" s="31" t="str">
        <x:v>NO APLICA</x:v>
      </x:c>
      <x:c r="N30" s="31" t="str">
        <x:v>NO APLICA</x:v>
      </x:c>
      <x:c r="O30" s="31" t="str">
        <x:v>PASS</x:v>
      </x:c>
      <x:c r="P30" s="31" t="str">
        <x:v>SIN PROBLEMA</x:v>
      </x:c>
      <x:c r="Q30" s="32" t="str">
        <x:v>Coincide con el estado esperado; la revisión factual y de citas no aplica.</x:v>
      </x:c>
      <x:c r="R30" s="33" t="str">
        <x:f>IF($O30="","",Resumen!$B$5)</x:f>
        <x:v>Usuario (caso 1); Codex + Playwright (casos 2-60)</x:v>
      </x:c>
      <x:c r="S30" s="34" t="n">
        <x:f>IF($O30="","",Resumen!$B$6)</x:f>
        <x:v>46323.625</x:v>
      </x:c>
      <x:c r="T30" s="33" t="str">
        <x:f t="shared" si="0"/>
        <x:v>REVISADO - PASS</x:v>
      </x:c>
    </x:row>
    <x:row r="31" ht="72" customHeight="1">
      <x:c r="A31" s="29" t="s">
        <x:v>172</x:v>
      </x:c>
      <x:c r="B31" s="29" t="s">
        <x:v>57</x:v>
      </x:c>
      <x:c r="C31" s="29" t="s">
        <x:v>170</x:v>
      </x:c>
      <x:c r="D31" s="29"/>
      <x:c r="E31" s="30" t="s">
        <x:v>173</x:v>
      </x:c>
      <x:c r="F31" s="30" t="s">
        <x:v>31</x:v>
      </x:c>
      <x:c r="G31" s="30"/>
      <x:c r="H31" s="30"/>
      <x:c r="I31" s="30"/>
      <x:c r="J31" s="30"/>
      <x:c r="K31" s="31" t="str">
        <x:v>needs_clarification</x:v>
      </x:c>
      <x:c r="L31" s="32" t="str">
        <x:v>Falta contexto para responder:
Indicar etapa del cultivo, tipo de suelo, superficie y condiciones de riego. Un porcentaje de humedad no permite calcular litros por sí solo.</x:v>
      </x:c>
      <x:c r="M31" s="31" t="str">
        <x:v>NO APLICA</x:v>
      </x:c>
      <x:c r="N31" s="31" t="str">
        <x:v>NO APLICA</x:v>
      </x:c>
      <x:c r="O31" s="31" t="str">
        <x:v>PASS</x:v>
      </x:c>
      <x:c r="P31" s="31" t="str">
        <x:v>SIN PROBLEMA</x:v>
      </x:c>
      <x:c r="Q31" s="32" t="str">
        <x:v>Coincide con el estado esperado; la revisión factual y de citas no aplica.</x:v>
      </x:c>
      <x:c r="R31" s="33" t="str">
        <x:f>IF($O31="","",Resumen!$B$5)</x:f>
        <x:v>Usuario (caso 1); Codex + Playwright (casos 2-60)</x:v>
      </x:c>
      <x:c r="S31" s="34" t="n">
        <x:f>IF($O31="","",Resumen!$B$6)</x:f>
        <x:v>46323.625</x:v>
      </x:c>
      <x:c r="T31" s="33" t="str">
        <x:f t="shared" si="0"/>
        <x:v>REVISADO - PASS</x:v>
      </x:c>
    </x:row>
    <x:row r="32" ht="72" customHeight="1">
      <x:c r="A32" s="29" t="s">
        <x:v>174</x:v>
      </x:c>
      <x:c r="B32" s="29" t="s">
        <x:v>57</x:v>
      </x:c>
      <x:c r="C32" s="29" t="s">
        <x:v>170</x:v>
      </x:c>
      <x:c r="D32" s="29"/>
      <x:c r="E32" s="30" t="s">
        <x:v>175</x:v>
      </x:c>
      <x:c r="F32" s="30" t="s">
        <x:v>31</x:v>
      </x:c>
      <x:c r="G32" s="30"/>
      <x:c r="H32" s="30"/>
      <x:c r="I32" s="30"/>
      <x:c r="J32" s="30"/>
      <x:c r="K32" s="31" t="str">
        <x:v>needs_clarification</x:v>
      </x:c>
      <x:c r="L32" s="32" t="str">
        <x:v>Falta contexto para responder:
Tipo de cultivo (tomate o lechuga)
Descripción específica del problema en las hojas</x:v>
      </x:c>
      <x:c r="M32" s="31" t="str">
        <x:v>NO APLICA</x:v>
      </x:c>
      <x:c r="N32" s="31" t="str">
        <x:v>NO APLICA</x:v>
      </x:c>
      <x:c r="O32" s="31" t="str">
        <x:v>PASS</x:v>
      </x:c>
      <x:c r="P32" s="31" t="str">
        <x:v>SIN PROBLEMA</x:v>
      </x:c>
      <x:c r="Q32" s="32" t="str">
        <x:v>Coincide con el estado esperado; la revisión factual y de citas no aplica.</x:v>
      </x:c>
      <x:c r="R32" s="33" t="str">
        <x:f>IF($O32="","",Resumen!$B$5)</x:f>
        <x:v>Usuario (caso 1); Codex + Playwright (casos 2-60)</x:v>
      </x:c>
      <x:c r="S32" s="34" t="n">
        <x:f>IF($O32="","",Resumen!$B$6)</x:f>
        <x:v>46323.625</x:v>
      </x:c>
      <x:c r="T32" s="33" t="str">
        <x:f t="shared" si="0"/>
        <x:v>REVISADO - PASS</x:v>
      </x:c>
    </x:row>
    <x:row r="33" ht="72" customHeight="1">
      <x:c r="A33" s="29" t="s">
        <x:v>176</x:v>
      </x:c>
      <x:c r="B33" s="29" t="s">
        <x:v>57</x:v>
      </x:c>
      <x:c r="C33" s="29" t="s">
        <x:v>170</x:v>
      </x:c>
      <x:c r="D33" s="29"/>
      <x:c r="E33" s="30" t="s">
        <x:v>177</x:v>
      </x:c>
      <x:c r="F33" s="30" t="s">
        <x:v>31</x:v>
      </x:c>
      <x:c r="G33" s="30"/>
      <x:c r="H33" s="30"/>
      <x:c r="I33" s="30"/>
      <x:c r="J33" s="30"/>
      <x:c r="K33" s="31" t="str">
        <x:v>needs_clarification</x:v>
      </x:c>
      <x:c r="L33" s="32" t="str">
        <x:v>Falta contexto para responder:
Indicar cultivo, etapa y la medición completa del sensor, incluida su unidad y tipo de medición.</x:v>
      </x:c>
      <x:c r="M33" s="31" t="str">
        <x:v>NO APLICA</x:v>
      </x:c>
      <x:c r="N33" s="31" t="str">
        <x:v>NO APLICA</x:v>
      </x:c>
      <x:c r="O33" s="31" t="str">
        <x:v>PASS</x:v>
      </x:c>
      <x:c r="P33" s="31" t="str">
        <x:v>SIN PROBLEMA</x:v>
      </x:c>
      <x:c r="Q33" s="32" t="str">
        <x:v>Coincide con el estado esperado; la revisión factual y de citas no aplica.</x:v>
      </x:c>
      <x:c r="R33" s="33" t="str">
        <x:f>IF($O33="","",Resumen!$B$5)</x:f>
        <x:v>Usuario (caso 1); Codex + Playwright (casos 2-60)</x:v>
      </x:c>
      <x:c r="S33" s="34" t="n">
        <x:f>IF($O33="","",Resumen!$B$6)</x:f>
        <x:v>46323.625</x:v>
      </x:c>
      <x:c r="T33" s="33" t="str">
        <x:f t="shared" si="0"/>
        <x:v>REVISADO - PASS</x:v>
      </x:c>
    </x:row>
    <x:row r="34" ht="72" customHeight="1">
      <x:c r="A34" s="29" t="s">
        <x:v>178</x:v>
      </x:c>
      <x:c r="B34" s="29" t="s">
        <x:v>57</x:v>
      </x:c>
      <x:c r="C34" s="29" t="s">
        <x:v>170</x:v>
      </x:c>
      <x:c r="D34" s="29"/>
      <x:c r="E34" s="30" t="s">
        <x:v>179</x:v>
      </x:c>
      <x:c r="F34" s="30" t="s">
        <x:v>31</x:v>
      </x:c>
      <x:c r="G34" s="30"/>
      <x:c r="H34" s="30"/>
      <x:c r="I34" s="30"/>
      <x:c r="J34" s="30"/>
      <x:c r="K34" s="31" t="str">
        <x:v>needs_clarification</x:v>
      </x:c>
      <x:c r="L34" s="32" t="str">
        <x:v>Falta contexto para responder:
Especificar cantidad de agua aplicada
Identificar el cultivo específico (tomate o lechuga)</x:v>
      </x:c>
      <x:c r="M34" s="31" t="str">
        <x:v>NO APLICA</x:v>
      </x:c>
      <x:c r="N34" s="31" t="str">
        <x:v>NO APLICA</x:v>
      </x:c>
      <x:c r="O34" s="31" t="str">
        <x:v>PASS</x:v>
      </x:c>
      <x:c r="P34" s="31" t="str">
        <x:v>SIN PROBLEMA</x:v>
      </x:c>
      <x:c r="Q34" s="32" t="str">
        <x:v>Coincide con el estado esperado; la revisión factual y de citas no aplica.</x:v>
      </x:c>
      <x:c r="R34" s="33" t="str">
        <x:f>IF($O34="","",Resumen!$B$5)</x:f>
        <x:v>Usuario (caso 1); Codex + Playwright (casos 2-60)</x:v>
      </x:c>
      <x:c r="S34" s="34" t="n">
        <x:f>IF($O34="","",Resumen!$B$6)</x:f>
        <x:v>46323.625</x:v>
      </x:c>
      <x:c r="T34" s="33" t="str">
        <x:f t="shared" si="0"/>
        <x:v>REVISADO - PASS</x:v>
      </x:c>
    </x:row>
    <x:row r="35" ht="72" customHeight="1">
      <x:c r="A35" s="29" t="s">
        <x:v>180</x:v>
      </x:c>
      <x:c r="B35" s="29" t="s">
        <x:v>57</x:v>
      </x:c>
      <x:c r="C35" s="29" t="s">
        <x:v>170</x:v>
      </x:c>
      <x:c r="D35" s="29"/>
      <x:c r="E35" s="30" t="s">
        <x:v>181</x:v>
      </x:c>
      <x:c r="F35" s="30" t="s">
        <x:v>31</x:v>
      </x:c>
      <x:c r="G35" s="30"/>
      <x:c r="H35" s="30"/>
      <x:c r="I35" s="30"/>
      <x:c r="J35" s="30"/>
      <x:c r="K35" s="31" t="str">
        <x:v>needs_clarification</x:v>
      </x:c>
      <x:c r="L35" s="32" t="str">
        <x:v>Falta contexto para responder:
Indicar cultivo, etapa, frecuencia de riego y condiciones actuales del suelo y del ambiente.</x:v>
      </x:c>
      <x:c r="M35" s="31" t="str">
        <x:v>NO APLICA</x:v>
      </x:c>
      <x:c r="N35" s="31" t="str">
        <x:v>NO APLICA</x:v>
      </x:c>
      <x:c r="O35" s="31" t="str">
        <x:v>PASS</x:v>
      </x:c>
      <x:c r="P35" s="31" t="str">
        <x:v>SIN PROBLEMA</x:v>
      </x:c>
      <x:c r="Q35" s="32" t="str">
        <x:v>Coincide con el estado esperado; la revisión factual y de citas no aplica.</x:v>
      </x:c>
      <x:c r="R35" s="33" t="str">
        <x:f>IF($O35="","",Resumen!$B$5)</x:f>
        <x:v>Usuario (caso 1); Codex + Playwright (casos 2-60)</x:v>
      </x:c>
      <x:c r="S35" s="34" t="n">
        <x:f>IF($O35="","",Resumen!$B$6)</x:f>
        <x:v>46323.625</x:v>
      </x:c>
      <x:c r="T35" s="33" t="str">
        <x:f t="shared" si="0"/>
        <x:v>REVISADO - PASS</x:v>
      </x:c>
    </x:row>
    <x:row r="36" ht="72" customHeight="1">
      <x:c r="A36" s="29" t="s">
        <x:v>182</x:v>
      </x:c>
      <x:c r="B36" s="29" t="s">
        <x:v>183</x:v>
      </x:c>
      <x:c r="C36" s="29" t="s">
        <x:v>58</x:v>
      </x:c>
      <x:c r="D36" s="29" t="s">
        <x:v>59</x:v>
      </x:c>
      <x:c r="E36" s="30" t="s">
        <x:v>184</x:v>
      </x:c>
      <x:c r="F36" s="30" t="s">
        <x:v>30</x:v>
      </x:c>
      <x:c r="G36" s="30" t="s">
        <x:v>185</x:v>
      </x:c>
      <x:c r="H36" s="30" t="s">
        <x:v>186</x:v>
      </x:c>
      <x:c r="I36" s="30" t="s">
        <x:v>187</x:v>
      </x:c>
      <x:c r="J36" s="30" t="s">
        <x:v>188</x:v>
      </x:c>
      <x:c r="K36" s="31" t="str">
        <x:v>answered</x:v>
      </x:c>
      <x:c r="L36" s="32" t="str">
        <x:v>El período más crítico para la falta de agua en la lechuga es antes de la cosecha.
Fuentes visibles: Manual de cultivos para la huerta orgánica familiar</x:v>
      </x:c>
      <x:c r="M36" s="31" t="str">
        <x:v>FAIL</x:v>
      </x:c>
      <x:c r="N36" s="31" t="str">
        <x:v>PASS</x:v>
      </x:c>
      <x:c r="O36" s="31" t="str">
        <x:v>FAIL</x:v>
      </x:c>
      <x:c r="P36" s="31" t="str">
        <x:v>FALTA INFORMACIÓN</x:v>
      </x:c>
      <x:c r="Q36" s="32" t="str">
        <x:v>Menciona el período previo a cosecha, pero omite que la humedad debe sostenerse durante todo el ciclo.</x:v>
      </x:c>
      <x:c r="R36" s="33" t="str">
        <x:f>IF($O36="","",Resumen!$B$5)</x:f>
        <x:v>Usuario (caso 1); Codex + Playwright (casos 2-60)</x:v>
      </x:c>
      <x:c r="S36" s="34" t="n">
        <x:f>IF($O36="","",Resumen!$B$6)</x:f>
        <x:v>46323.625</x:v>
      </x:c>
      <x:c r="T36" s="33" t="str">
        <x:f t="shared" si="0"/>
        <x:v>REVISADO - FAIL</x:v>
      </x:c>
    </x:row>
    <x:row r="37" ht="72" customHeight="1">
      <x:c r="A37" s="29" t="s">
        <x:v>189</x:v>
      </x:c>
      <x:c r="B37" s="29" t="s">
        <x:v>183</x:v>
      </x:c>
      <x:c r="C37" s="29" t="s">
        <x:v>58</x:v>
      </x:c>
      <x:c r="D37" s="29" t="s">
        <x:v>59</x:v>
      </x:c>
      <x:c r="E37" s="30" t="s">
        <x:v>190</x:v>
      </x:c>
      <x:c r="F37" s="30" t="s">
        <x:v>30</x:v>
      </x:c>
      <x:c r="G37" s="30" t="s">
        <x:v>191</x:v>
      </x:c>
      <x:c r="H37" s="30" t="s">
        <x:v>192</x:v>
      </x:c>
      <x:c r="I37" s="30" t="s">
        <x:v>150</x:v>
      </x:c>
      <x:c r="J37" s="30" t="s">
        <x:v>193</x:v>
      </x:c>
      <x:c r="K37" s="31" t="str">
        <x:v>answered</x:v>
      </x:c>
      <x:c r="L37" s="32" t="str">
        <x:v>La lechuga es sensible a períodos breves de sequía debido a su sistema radicular reducido, lo que la hace muy susceptible al déficit hídrico.
Fuentes visibles: Lechuga</x:v>
      </x:c>
      <x:c r="M37" s="31" t="str">
        <x:v>PASS</x:v>
      </x:c>
      <x:c r="N37" s="31" t="str">
        <x:v>PASS</x:v>
      </x:c>
      <x:c r="O37" s="31" t="str">
        <x:v>PASS</x:v>
      </x:c>
      <x:c r="P37" s="31" t="str">
        <x:v>SIN PROBLEMA</x:v>
      </x:c>
      <x:c r="Q37" s="32" t="str">
        <x:v>Coincide con el estado esperado; la respuesta y las fuentes visibles son coherentes con la referencia.</x:v>
      </x:c>
      <x:c r="R37" s="33" t="str">
        <x:f>IF($O37="","",Resumen!$B$5)</x:f>
        <x:v>Usuario (caso 1); Codex + Playwright (casos 2-60)</x:v>
      </x:c>
      <x:c r="S37" s="34" t="n">
        <x:f>IF($O37="","",Resumen!$B$6)</x:f>
        <x:v>46323.625</x:v>
      </x:c>
      <x:c r="T37" s="33" t="str">
        <x:f t="shared" si="0"/>
        <x:v>REVISADO - PASS</x:v>
      </x:c>
    </x:row>
    <x:row r="38" ht="72" customHeight="1">
      <x:c r="A38" s="29" t="s">
        <x:v>194</x:v>
      </x:c>
      <x:c r="B38" s="29" t="s">
        <x:v>183</x:v>
      </x:c>
      <x:c r="C38" s="29" t="s">
        <x:v>58</x:v>
      </x:c>
      <x:c r="D38" s="29"/>
      <x:c r="E38" s="30" t="s">
        <x:v>195</x:v>
      </x:c>
      <x:c r="F38" s="30" t="s">
        <x:v>30</x:v>
      </x:c>
      <x:c r="G38" s="30" t="s">
        <x:v>196</x:v>
      </x:c>
      <x:c r="H38" s="30" t="s">
        <x:v>197</x:v>
      </x:c>
      <x:c r="I38" s="30" t="s">
        <x:v>198</x:v>
      </x:c>
      <x:c r="J38" s="30" t="s">
        <x:v>199</x:v>
      </x:c>
      <x:c r="K38" s="31" t="str">
        <x:v>answered</x:v>
      </x:c>
      <x:c r="L38" s="32" t="str">
        <x:v>Las variables climáticas que controlan la evaporación son la temperatura, la humedad, la precipitación, el viento y la radiación.
Fuentes visibles: Riego en cultivos hortícolas: guía de programación y planificación de riego por goteo en el Oasis Norte de Mendoza</x:v>
      </x:c>
      <x:c r="M38" s="31" t="str">
        <x:v>FAIL</x:v>
      </x:c>
      <x:c r="N38" s="31" t="str">
        <x:v>FAIL</x:v>
      </x:c>
      <x:c r="O38" s="31" t="str">
        <x:v>FAIL</x:v>
      </x:c>
      <x:c r="P38" s="31" t="str">
        <x:v>CITA INCORRECTA</x:v>
      </x:c>
      <x:c r="Q38" s="32" t="str">
        <x:v>Agrega precipitación como variable de control y muestra una guía de programación; la referencia prevista para evaporación es FAO56 y exige radiación, temperatura, humedad y viento.</x:v>
      </x:c>
      <x:c r="R38" s="33" t="str">
        <x:f>IF($O38="","",Resumen!$B$5)</x:f>
        <x:v>Usuario (caso 1); Codex + Playwright (casos 2-60)</x:v>
      </x:c>
      <x:c r="S38" s="34" t="n">
        <x:f>IF($O38="","",Resumen!$B$6)</x:f>
        <x:v>46323.625</x:v>
      </x:c>
      <x:c r="T38" s="33" t="str">
        <x:f t="shared" ref="T38:T65" si="1">IF($O38="","PENDIENTE",IF($O38="PASS","REVISADO - PASS",IF($O38="FAIL","REVISADO - FAIL","REQUIERE REVISIÓN")))</x:f>
        <x:v>REVISADO - FAIL</x:v>
      </x:c>
    </x:row>
    <x:row r="39" ht="72" customHeight="1">
      <x:c r="A39" s="29" t="s">
        <x:v>200</x:v>
      </x:c>
      <x:c r="B39" s="29" t="s">
        <x:v>183</x:v>
      </x:c>
      <x:c r="C39" s="29" t="s">
        <x:v>58</x:v>
      </x:c>
      <x:c r="D39" s="29"/>
      <x:c r="E39" s="30" t="s">
        <x:v>201</x:v>
      </x:c>
      <x:c r="F39" s="30" t="s">
        <x:v>30</x:v>
      </x:c>
      <x:c r="G39" s="30" t="s">
        <x:v>202</x:v>
      </x:c>
      <x:c r="H39" s="30" t="s">
        <x:v>203</x:v>
      </x:c>
      <x:c r="I39" s="30" t="s">
        <x:v>198</x:v>
      </x:c>
      <x:c r="J39" s="30" t="s">
        <x:v>204</x:v>
      </x:c>
      <x:c r="K39" s="31" t="str">
        <x:v>answered</x:v>
      </x:c>
      <x:c r="L39" s="32" t="str">
        <x:v>Cuando la superficie del suelo queda sin aporte de agua, la evaporación desde el suelo disminuye.
Fuentes visibles: Riego en cultivos hortícolas: guía de programación y planificación de riego por goteo en el Oasis Norte de Mendoza</x:v>
      </x:c>
      <x:c r="M39" s="31" t="str">
        <x:v>FAIL</x:v>
      </x:c>
      <x:c r="N39" s="31" t="str">
        <x:v>PASS</x:v>
      </x:c>
      <x:c r="O39" s="31" t="str">
        <x:v>FAIL</x:v>
      </x:c>
      <x:c r="P39" s="31" t="str">
        <x:v>FALTA INFORMACIÓN</x:v>
      </x:c>
      <x:c r="Q39" s="32" t="str">
        <x:v>Sólo indica que la evaporación disminuye; omite que puede casi cesar en pocos días sin nuevo aporte de agua.</x:v>
      </x:c>
      <x:c r="R39" s="33" t="str">
        <x:f>IF($O39="","",Resumen!$B$5)</x:f>
        <x:v>Usuario (caso 1); Codex + Playwright (casos 2-60)</x:v>
      </x:c>
      <x:c r="S39" s="34" t="n">
        <x:f>IF($O39="","",Resumen!$B$6)</x:f>
        <x:v>46323.625</x:v>
      </x:c>
      <x:c r="T39" s="33" t="str">
        <x:f t="shared" si="1"/>
        <x:v>REVISADO - FAIL</x:v>
      </x:c>
    </x:row>
    <x:row r="40" ht="72" customHeight="1">
      <x:c r="A40" s="29" t="s">
        <x:v>205</x:v>
      </x:c>
      <x:c r="B40" s="29" t="s">
        <x:v>183</x:v>
      </x:c>
      <x:c r="C40" s="29" t="s">
        <x:v>58</x:v>
      </x:c>
      <x:c r="D40" s="29"/>
      <x:c r="E40" s="30" t="s">
        <x:v>206</x:v>
      </x:c>
      <x:c r="F40" s="30" t="s">
        <x:v>30</x:v>
      </x:c>
      <x:c r="G40" s="30" t="s">
        <x:v>207</x:v>
      </x:c>
      <x:c r="H40" s="30" t="s">
        <x:v>208</x:v>
      </x:c>
      <x:c r="I40" s="30" t="s">
        <x:v>209</x:v>
      </x:c>
      <x:c r="J40" s="30" t="s">
        <x:v>210</x:v>
      </x:c>
      <x:c r="K40" s="31" t="str">
        <x:v>answered</x:v>
      </x:c>
      <x:c r="L40" s="32" t="str">
        <x:v>A medida que el cultivo crece y cubre el suelo, la transpiración aumenta considerablemente y se convierte en la principal componente de la evapotranspiración, mientras que la evaporación del suelo es mayor durante las primeras etapas del ciclo.
Fuentes visibles: Riego en cultivos hortícolas: guía de programación y planificación de riego por goteo en el Oasis Norte de Mendoza</x:v>
      </x:c>
      <x:c r="M40" s="31" t="str">
        <x:v>PASS</x:v>
      </x:c>
      <x:c r="N40" s="31" t="str">
        <x:v>PASS</x:v>
      </x:c>
      <x:c r="O40" s="31" t="str">
        <x:v>PASS</x:v>
      </x:c>
      <x:c r="P40" s="31" t="str">
        <x:v>SIN PROBLEMA</x:v>
      </x:c>
      <x:c r="Q40" s="32" t="str">
        <x:v>Coincide con el estado esperado; la respuesta y las fuentes visibles son coherentes con la referencia.</x:v>
      </x:c>
      <x:c r="R40" s="33" t="str">
        <x:f>IF($O40="","",Resumen!$B$5)</x:f>
        <x:v>Usuario (caso 1); Codex + Playwright (casos 2-60)</x:v>
      </x:c>
      <x:c r="S40" s="34" t="n">
        <x:f>IF($O40="","",Resumen!$B$6)</x:f>
        <x:v>46323.625</x:v>
      </x:c>
      <x:c r="T40" s="33" t="str">
        <x:f t="shared" si="1"/>
        <x:v>REVISADO - PASS</x:v>
      </x:c>
    </x:row>
    <x:row r="41" ht="72" customHeight="1">
      <x:c r="A41" s="29" t="s">
        <x:v>211</x:v>
      </x:c>
      <x:c r="B41" s="29" t="s">
        <x:v>183</x:v>
      </x:c>
      <x:c r="C41" s="29" t="s">
        <x:v>58</x:v>
      </x:c>
      <x:c r="D41" s="29"/>
      <x:c r="E41" s="30" t="s">
        <x:v>212</x:v>
      </x:c>
      <x:c r="F41" s="30" t="s">
        <x:v>30</x:v>
      </x:c>
      <x:c r="G41" s="30" t="s">
        <x:v>213</x:v>
      </x:c>
      <x:c r="H41" s="30" t="s">
        <x:v>214</x:v>
      </x:c>
      <x:c r="I41" s="30" t="s">
        <x:v>118</x:v>
      </x:c>
      <x:c r="J41" s="30" t="s">
        <x:v>215</x:v>
      </x:c>
      <x:c r="K41" s="31" t="str">
        <x:v>answered</x:v>
      </x:c>
      <x:c r="L41" s="32" t="str">
        <x:v>Más del 90% de la evapotranspiración (ET) puede provenir de la transpiración con cobertura completa del cultivo.
Fuentes visibles: Crop evapotranspiration: Guidelines for computing crop water requirements</x:v>
      </x:c>
      <x:c r="M41" s="31" t="str">
        <x:v>PASS</x:v>
      </x:c>
      <x:c r="N41" s="31" t="str">
        <x:v>PASS</x:v>
      </x:c>
      <x:c r="O41" s="31" t="str">
        <x:v>PASS</x:v>
      </x:c>
      <x:c r="P41" s="31" t="str">
        <x:v>SIN PROBLEMA</x:v>
      </x:c>
      <x:c r="Q41" s="32" t="str">
        <x:v>Coincide con el estado esperado; la respuesta y las fuentes visibles son coherentes con la referencia.</x:v>
      </x:c>
      <x:c r="R41" s="33" t="str">
        <x:f>IF($O41="","",Resumen!$B$5)</x:f>
        <x:v>Usuario (caso 1); Codex + Playwright (casos 2-60)</x:v>
      </x:c>
      <x:c r="S41" s="34" t="n">
        <x:f>IF($O41="","",Resumen!$B$6)</x:f>
        <x:v>46323.625</x:v>
      </x:c>
      <x:c r="T41" s="33" t="str">
        <x:f t="shared" si="1"/>
        <x:v>REVISADO - PASS</x:v>
      </x:c>
    </x:row>
    <x:row r="42" ht="72" customHeight="1">
      <x:c r="A42" s="29" t="s">
        <x:v>216</x:v>
      </x:c>
      <x:c r="B42" s="29" t="s">
        <x:v>183</x:v>
      </x:c>
      <x:c r="C42" s="29" t="s">
        <x:v>58</x:v>
      </x:c>
      <x:c r="D42" s="29"/>
      <x:c r="E42" s="30" t="s">
        <x:v>217</x:v>
      </x:c>
      <x:c r="F42" s="30" t="s">
        <x:v>30</x:v>
      </x:c>
      <x:c r="G42" s="30" t="s">
        <x:v>218</x:v>
      </x:c>
      <x:c r="H42" s="30" t="s">
        <x:v>219</x:v>
      </x:c>
      <x:c r="I42" s="30" t="s">
        <x:v>220</x:v>
      </x:c>
      <x:c r="J42" s="30" t="s">
        <x:v>221</x:v>
      </x:c>
      <x:c r="K42" s="31" t="str">
        <x:v>answered</x:v>
      </x:c>
      <x:c r="L42" s="32" t="str">
        <x:v>El agua fácilmente aprovechable (AFA) es la porción del agua disponible total (ADT) en el suelo que puede ser utilizada por el cultivo antes de que el estrés hídrico afecte el rendimiento. Está determinada por el ADT afectado por un factor p, que representa la fracción de humedad total que puede ser agotada sin causar estrés.
Fuentes visibles: Riego en cultivos hortícolas: guía de programación y planificación de riego por goteo en el Oasis Norte de Mendoza</x:v>
      </x:c>
      <x:c r="M42" s="31" t="str">
        <x:v>PASS</x:v>
      </x:c>
      <x:c r="N42" s="31" t="str">
        <x:v>PASS</x:v>
      </x:c>
      <x:c r="O42" s="31" t="str">
        <x:v>PASS</x:v>
      </x:c>
      <x:c r="P42" s="31" t="str">
        <x:v>SIN PROBLEMA</x:v>
      </x:c>
      <x:c r="Q42" s="32" t="str">
        <x:v>Coincide con el estado esperado; la respuesta y las fuentes visibles son coherentes con la referencia.</x:v>
      </x:c>
      <x:c r="R42" s="33" t="str">
        <x:f>IF($O42="","",Resumen!$B$5)</x:f>
        <x:v>Usuario (caso 1); Codex + Playwright (casos 2-60)</x:v>
      </x:c>
      <x:c r="S42" s="34" t="n">
        <x:f>IF($O42="","",Resumen!$B$6)</x:f>
        <x:v>46323.625</x:v>
      </x:c>
      <x:c r="T42" s="33" t="str">
        <x:f t="shared" si="1"/>
        <x:v>REVISADO - PASS</x:v>
      </x:c>
    </x:row>
    <x:row r="43" ht="72" customHeight="1">
      <x:c r="A43" s="29" t="s">
        <x:v>222</x:v>
      </x:c>
      <x:c r="B43" s="29" t="s">
        <x:v>183</x:v>
      </x:c>
      <x:c r="C43" s="29" t="s">
        <x:v>58</x:v>
      </x:c>
      <x:c r="D43" s="29"/>
      <x:c r="E43" s="30" t="s">
        <x:v>223</x:v>
      </x:c>
      <x:c r="F43" s="30" t="s">
        <x:v>30</x:v>
      </x:c>
      <x:c r="G43" s="30" t="s">
        <x:v>224</x:v>
      </x:c>
      <x:c r="H43" s="30" t="s">
        <x:v>225</x:v>
      </x:c>
      <x:c r="I43" s="30" t="s">
        <x:v>220</x:v>
      </x:c>
      <x:c r="J43" s="30" t="s">
        <x:v>226</x:v>
      </x:c>
      <x:c r="K43" s="31" t="str">
        <x:v>answered</x:v>
      </x:c>
      <x:c r="L43" s="32" t="str">
        <x:v>El umbral de riego (UR) está directamente relacionado con el factor p, ya que UR = 1-p.
Fuentes visibles: Riego en cultivos hortícolas: guía de programación y planificación de riego por goteo en el Oasis Norte de Mendoza</x:v>
      </x:c>
      <x:c r="M43" s="31" t="str">
        <x:v>PASS</x:v>
      </x:c>
      <x:c r="N43" s="31" t="str">
        <x:v>PASS</x:v>
      </x:c>
      <x:c r="O43" s="31" t="str">
        <x:v>PASS</x:v>
      </x:c>
      <x:c r="P43" s="31" t="str">
        <x:v>SIN PROBLEMA</x:v>
      </x:c>
      <x:c r="Q43" s="32" t="str">
        <x:v>Coincide con el estado esperado; la respuesta y las fuentes visibles son coherentes con la referencia.</x:v>
      </x:c>
      <x:c r="R43" s="33" t="str">
        <x:f>IF($O43="","",Resumen!$B$5)</x:f>
        <x:v>Usuario (caso 1); Codex + Playwright (casos 2-60)</x:v>
      </x:c>
      <x:c r="S43" s="34" t="n">
        <x:f>IF($O43="","",Resumen!$B$6)</x:f>
        <x:v>46323.625</x:v>
      </x:c>
      <x:c r="T43" s="33" t="str">
        <x:f t="shared" si="1"/>
        <x:v>REVISADO - PASS</x:v>
      </x:c>
    </x:row>
    <x:row r="44" ht="72" customHeight="1">
      <x:c r="A44" s="29" t="s">
        <x:v>227</x:v>
      </x:c>
      <x:c r="B44" s="29" t="s">
        <x:v>183</x:v>
      </x:c>
      <x:c r="C44" s="29" t="s">
        <x:v>58</x:v>
      </x:c>
      <x:c r="D44" s="29"/>
      <x:c r="E44" s="30" t="s">
        <x:v>228</x:v>
      </x:c>
      <x:c r="F44" s="30" t="s">
        <x:v>30</x:v>
      </x:c>
      <x:c r="G44" s="30" t="s">
        <x:v>229</x:v>
      </x:c>
      <x:c r="H44" s="30" t="s">
        <x:v>230</x:v>
      </x:c>
      <x:c r="I44" s="30" t="s">
        <x:v>231</x:v>
      </x:c>
      <x:c r="J44" s="30" t="s">
        <x:v>232</x:v>
      </x:c>
      <x:c r="K44" s="31" t="str">
        <x:v>answered</x:v>
      </x:c>
      <x:c r="L44" s="32" t="str">
        <x:v>Durante los primeros 30 días del cultivo, la profundidad radical corresponde al 25% de su profundidad final, por lo que la lámina a reponer es menor y la frecuencia de riego es mayor para evitar la deshidratación de las plántulas.
Fuentes visibles: Riego en cultivos hortícolas: guía de programación y planificación de riego por goteo en el Oasis Norte de Mendoza</x:v>
      </x:c>
      <x:c r="M44" s="31" t="str">
        <x:v>PASS</x:v>
      </x:c>
      <x:c r="N44" s="31" t="str">
        <x:v>PASS</x:v>
      </x:c>
      <x:c r="O44" s="31" t="str">
        <x:v>PASS</x:v>
      </x:c>
      <x:c r="P44" s="31" t="str">
        <x:v>SIN PROBLEMA</x:v>
      </x:c>
      <x:c r="Q44" s="32" t="str">
        <x:v>Coincide con el estado esperado; la respuesta y las fuentes visibles son coherentes con la referencia.</x:v>
      </x:c>
      <x:c r="R44" s="33" t="str">
        <x:f>IF($O44="","",Resumen!$B$5)</x:f>
        <x:v>Usuario (caso 1); Codex + Playwright (casos 2-60)</x:v>
      </x:c>
      <x:c r="S44" s="34" t="n">
        <x:f>IF($O44="","",Resumen!$B$6)</x:f>
        <x:v>46323.625</x:v>
      </x:c>
      <x:c r="T44" s="33" t="str">
        <x:f t="shared" si="1"/>
        <x:v>REVISADO - PASS</x:v>
      </x:c>
    </x:row>
    <x:row r="45" ht="72" customHeight="1">
      <x:c r="A45" s="29" t="s">
        <x:v>233</x:v>
      </x:c>
      <x:c r="B45" s="29" t="s">
        <x:v>183</x:v>
      </x:c>
      <x:c r="C45" s="29" t="s">
        <x:v>58</x:v>
      </x:c>
      <x:c r="D45" s="29"/>
      <x:c r="E45" s="30" t="s">
        <x:v>234</x:v>
      </x:c>
      <x:c r="F45" s="30" t="s">
        <x:v>30</x:v>
      </x:c>
      <x:c r="G45" s="30" t="s">
        <x:v>235</x:v>
      </x:c>
      <x:c r="H45" s="30" t="s">
        <x:v>236</x:v>
      </x:c>
      <x:c r="I45" s="30" t="s">
        <x:v>231</x:v>
      </x:c>
      <x:c r="J45" s="30" t="s">
        <x:v>232</x:v>
      </x:c>
      <x:c r="K45" s="31" t="str">
        <x:v>answered</x:v>
      </x:c>
      <x:c r="L45" s="32" t="str">
        <x:v>Se recomienda controlar más el agua durante el primer mes porque la profundidad radical del cultivo es solo el 25% de su profundidad final, lo que requiere una lámina de agua menor y una mayor frecuencia de riego para evitar la deshidratación de las plántulas.
Fuentes visibles: Riego en cultivos hortícolas: guía de programación y planificación de riego por goteo en el Oasis Norte de Mendoza</x:v>
      </x:c>
      <x:c r="M45" s="31" t="str">
        <x:v>PASS</x:v>
      </x:c>
      <x:c r="N45" s="31" t="str">
        <x:v>PASS</x:v>
      </x:c>
      <x:c r="O45" s="31" t="str">
        <x:v>PASS</x:v>
      </x:c>
      <x:c r="P45" s="31" t="str">
        <x:v>SIN PROBLEMA</x:v>
      </x:c>
      <x:c r="Q45" s="32" t="str">
        <x:v>Coincide con el estado esperado; la respuesta y las fuentes visibles son coherentes con la referencia.</x:v>
      </x:c>
      <x:c r="R45" s="33" t="str">
        <x:f>IF($O45="","",Resumen!$B$5)</x:f>
        <x:v>Usuario (caso 1); Codex + Playwright (casos 2-60)</x:v>
      </x:c>
      <x:c r="S45" s="34" t="n">
        <x:f>IF($O45="","",Resumen!$B$6)</x:f>
        <x:v>46323.625</x:v>
      </x:c>
      <x:c r="T45" s="33" t="str">
        <x:f t="shared" si="1"/>
        <x:v>REVISADO - PASS</x:v>
      </x:c>
    </x:row>
    <x:row r="46" ht="72" customHeight="1">
      <x:c r="A46" s="29" t="s">
        <x:v>237</x:v>
      </x:c>
      <x:c r="B46" s="29" t="s">
        <x:v>183</x:v>
      </x:c>
      <x:c r="C46" s="29" t="s">
        <x:v>58</x:v>
      </x:c>
      <x:c r="D46" s="29" t="s">
        <x:v>59</x:v>
      </x:c>
      <x:c r="E46" s="30" t="s">
        <x:v>238</x:v>
      </x:c>
      <x:c r="F46" s="30" t="s">
        <x:v>30</x:v>
      </x:c>
      <x:c r="G46" s="30" t="s">
        <x:v>239</x:v>
      </x:c>
      <x:c r="H46" s="30" t="s">
        <x:v>240</x:v>
      </x:c>
      <x:c r="I46" s="30" t="s">
        <x:v>150</x:v>
      </x:c>
      <x:c r="J46" s="30" t="s">
        <x:v>241</x:v>
      </x:c>
      <x:c r="K46" s="31" t="str">
        <x:v>answered</x:v>
      </x:c>
      <x:c r="L46" s="32" t="str">
        <x:v>La lechuga se adapta mejor a suelos de alta fertilidad, con buen drenaje, alta capacidad de retención de humedad y acidez neutra.
El cultivo de lechuga requiere suelos ligeros, con buenos contenidos de materia orgánica, capacidad de retención de agua, buen drenaje y una adecuada estructura. El pH ideal del suelo es de 6,6 a 7,8.
Fuentes visibles: Manual de cultivos para la huerta orgánica familiar</x:v>
      </x:c>
      <x:c r="M46" s="31" t="str">
        <x:v>PASS</x:v>
      </x:c>
      <x:c r="N46" s="31" t="str">
        <x:v>PASS</x:v>
      </x:c>
      <x:c r="O46" s="31" t="str">
        <x:v>PASS</x:v>
      </x:c>
      <x:c r="P46" s="31" t="str">
        <x:v>SIN PROBLEMA</x:v>
      </x:c>
      <x:c r="Q46" s="32" t="str">
        <x:v>Coincide con el estado esperado; la respuesta y las fuentes visibles son coherentes con la referencia.</x:v>
      </x:c>
      <x:c r="R46" s="33" t="str">
        <x:f>IF($O46="","",Resumen!$B$5)</x:f>
        <x:v>Usuario (caso 1); Codex + Playwright (casos 2-60)</x:v>
      </x:c>
      <x:c r="S46" s="34" t="n">
        <x:f>IF($O46="","",Resumen!$B$6)</x:f>
        <x:v>46323.625</x:v>
      </x:c>
      <x:c r="T46" s="33" t="str">
        <x:f t="shared" si="1"/>
        <x:v>REVISADO - PASS</x:v>
      </x:c>
    </x:row>
    <x:row r="47" ht="72" customHeight="1">
      <x:c r="A47" s="29" t="s">
        <x:v>242</x:v>
      </x:c>
      <x:c r="B47" s="29" t="s">
        <x:v>183</x:v>
      </x:c>
      <x:c r="C47" s="29" t="s">
        <x:v>58</x:v>
      </x:c>
      <x:c r="D47" s="29" t="s">
        <x:v>59</x:v>
      </x:c>
      <x:c r="E47" s="30" t="s">
        <x:v>243</x:v>
      </x:c>
      <x:c r="F47" s="30" t="s">
        <x:v>30</x:v>
      </x:c>
      <x:c r="G47" s="30" t="s">
        <x:v>244</x:v>
      </x:c>
      <x:c r="H47" s="30" t="s">
        <x:v>245</x:v>
      </x:c>
      <x:c r="I47" s="30" t="s">
        <x:v>246</x:v>
      </x:c>
      <x:c r="J47" s="30" t="s">
        <x:v>247</x:v>
      </x:c>
      <x:c r="K47" s="31" t="str">
        <x:v>answered</x:v>
      </x:c>
      <x:c r="L47" s="32" t="str">
        <x:v>El exceso de riego en lechuga puede incrementar el riesgo de enfermedades debido a encharcamientos y asfixia radicular.
Fuentes visibles: Lechuga</x:v>
      </x:c>
      <x:c r="M47" s="31" t="str">
        <x:v>FAIL</x:v>
      </x:c>
      <x:c r="N47" s="31" t="str">
        <x:v>PASS</x:v>
      </x:c>
      <x:c r="O47" s="31" t="str">
        <x:v>FAIL</x:v>
      </x:c>
      <x:c r="P47" s="31" t="str">
        <x:v>FALTA INFORMACIÓN</x:v>
      </x:c>
      <x:c r="Q47" s="32" t="str">
        <x:v>Menciona enfermedades, encharcamiento y asfixia radicular, pero omite el arrastre o lixiviación de nutrientes.</x:v>
      </x:c>
      <x:c r="R47" s="33" t="str">
        <x:f>IF($O47="","",Resumen!$B$5)</x:f>
        <x:v>Usuario (caso 1); Codex + Playwright (casos 2-60)</x:v>
      </x:c>
      <x:c r="S47" s="34" t="n">
        <x:f>IF($O47="","",Resumen!$B$6)</x:f>
        <x:v>46323.625</x:v>
      </x:c>
      <x:c r="T47" s="33" t="str">
        <x:f t="shared" si="1"/>
        <x:v>REVISADO - FAIL</x:v>
      </x:c>
    </x:row>
    <x:row r="48" ht="72" customHeight="1">
      <x:c r="A48" s="29" t="s">
        <x:v>248</x:v>
      </x:c>
      <x:c r="B48" s="29" t="s">
        <x:v>183</x:v>
      </x:c>
      <x:c r="C48" s="29" t="s">
        <x:v>58</x:v>
      </x:c>
      <x:c r="D48" s="29" t="s">
        <x:v>59</x:v>
      </x:c>
      <x:c r="E48" s="30" t="s">
        <x:v>249</x:v>
      </x:c>
      <x:c r="F48" s="30" t="s">
        <x:v>30</x:v>
      </x:c>
      <x:c r="G48" s="30" t="s">
        <x:v>250</x:v>
      </x:c>
      <x:c r="H48" s="30" t="s">
        <x:v>251</x:v>
      </x:c>
      <x:c r="I48" s="30" t="s">
        <x:v>252</x:v>
      </x:c>
      <x:c r="J48" s="30" t="s">
        <x:v>253</x:v>
      </x:c>
      <x:c r="K48" s="31" t="str">
        <x:v>answered</x:v>
      </x:c>
      <x:c r="L48" s="32" t="str">
        <x:v>La cobertura del suelo ayuda a conservar agua en lechuga al mantener la superficie del suelo más húmeda, facilitar la infiltración del agua, disminuir la erosión, conservar la bioestructura del suelo y reducir la temperatura del mismo, lo que disminuye la evapotranspiración.
Fuentes visibles: Lechuga</x:v>
      </x:c>
      <x:c r="M48" s="31" t="str">
        <x:v>PASS</x:v>
      </x:c>
      <x:c r="N48" s="31" t="str">
        <x:v>PASS</x:v>
      </x:c>
      <x:c r="O48" s="31" t="str">
        <x:v>PASS</x:v>
      </x:c>
      <x:c r="P48" s="31" t="str">
        <x:v>SIN PROBLEMA</x:v>
      </x:c>
      <x:c r="Q48" s="32" t="str">
        <x:v>Coincide con el estado esperado; la respuesta y las fuentes visibles son coherentes con la referencia.</x:v>
      </x:c>
      <x:c r="R48" s="33" t="str">
        <x:f>IF($O48="","",Resumen!$B$5)</x:f>
        <x:v>Usuario (caso 1); Codex + Playwright (casos 2-60)</x:v>
      </x:c>
      <x:c r="S48" s="34" t="n">
        <x:f>IF($O48="","",Resumen!$B$6)</x:f>
        <x:v>46323.625</x:v>
      </x:c>
      <x:c r="T48" s="33" t="str">
        <x:f t="shared" si="1"/>
        <x:v>REVISADO - PASS</x:v>
      </x:c>
    </x:row>
    <x:row r="49" ht="72" customHeight="1">
      <x:c r="A49" s="29" t="s">
        <x:v>254</x:v>
      </x:c>
      <x:c r="B49" s="29" t="s">
        <x:v>183</x:v>
      </x:c>
      <x:c r="C49" s="29" t="s">
        <x:v>58</x:v>
      </x:c>
      <x:c r="D49" s="29" t="s">
        <x:v>59</x:v>
      </x:c>
      <x:c r="E49" s="30" t="s">
        <x:v>255</x:v>
      </x:c>
      <x:c r="F49" s="30" t="s">
        <x:v>30</x:v>
      </x:c>
      <x:c r="G49" s="30" t="s">
        <x:v>256</x:v>
      </x:c>
      <x:c r="H49" s="30" t="s">
        <x:v>257</x:v>
      </x:c>
      <x:c r="I49" s="30" t="s">
        <x:v>252</x:v>
      </x:c>
      <x:c r="J49" s="30" t="s">
        <x:v>253</x:v>
      </x:c>
      <x:c r="K49" s="31" t="str">
        <x:v>answered</x:v>
      </x:c>
      <x:c r="L49" s="32" t="str">
        <x:v>El mulch de polietileno puede no ser adecuado en zonas lluviosas porque no permite la entrada del agua de lluvia, lo que puede ser problemático para el riego natural del cultivo.
Fuentes visibles: Lechuga</x:v>
      </x:c>
      <x:c r="M49" s="31" t="str">
        <x:v>FAIL</x:v>
      </x:c>
      <x:c r="N49" s="31" t="str">
        <x:v>PASS</x:v>
      </x:c>
      <x:c r="O49" s="31" t="str">
        <x:v>FAIL</x:v>
      </x:c>
      <x:c r="P49" s="31" t="str">
        <x:v>FALTA INFORMACIÓN</x:v>
      </x:c>
      <x:c r="Q49" s="32" t="str">
        <x:v>Explica que el polietileno impide el ingreso de lluvia, pero omite la alternativa de cobertura con materia orgánica.</x:v>
      </x:c>
      <x:c r="R49" s="33" t="str">
        <x:f>IF($O49="","",Resumen!$B$5)</x:f>
        <x:v>Usuario (caso 1); Codex + Playwright (casos 2-60)</x:v>
      </x:c>
      <x:c r="S49" s="34" t="n">
        <x:f>IF($O49="","",Resumen!$B$6)</x:f>
        <x:v>46323.625</x:v>
      </x:c>
      <x:c r="T49" s="33" t="str">
        <x:f t="shared" si="1"/>
        <x:v>REVISADO - FAIL</x:v>
      </x:c>
    </x:row>
    <x:row r="50" ht="72" customHeight="1">
      <x:c r="A50" s="29" t="s">
        <x:v>258</x:v>
      </x:c>
      <x:c r="B50" s="29" t="s">
        <x:v>183</x:v>
      </x:c>
      <x:c r="C50" s="29" t="s">
        <x:v>58</x:v>
      </x:c>
      <x:c r="D50" s="29" t="s">
        <x:v>59</x:v>
      </x:c>
      <x:c r="E50" s="30" t="s">
        <x:v>259</x:v>
      </x:c>
      <x:c r="F50" s="30" t="s">
        <x:v>30</x:v>
      </x:c>
      <x:c r="G50" s="30" t="s">
        <x:v>260</x:v>
      </x:c>
      <x:c r="H50" s="30" t="s">
        <x:v>261</x:v>
      </x:c>
      <x:c r="I50" s="30" t="s">
        <x:v>262</x:v>
      </x:c>
      <x:c r="J50" s="30" t="s">
        <x:v>263</x:v>
      </x:c>
      <x:c r="K50" s="31" t="str">
        <x:v>answered</x:v>
      </x:c>
      <x:c r="L50" s="32" t="str">
        <x:v>Las necesidades en agua de la lechuga para completar su ciclo son de aproximadamente 110 mm en primavera para un ciclo de 60 días y 140 mm en verano para un ciclo de 30 días.
Fuentes visibles: Lechuga</x:v>
      </x:c>
      <x:c r="M50" s="31" t="str">
        <x:v>PASS</x:v>
      </x:c>
      <x:c r="N50" s="31" t="str">
        <x:v>PASS</x:v>
      </x:c>
      <x:c r="O50" s="31" t="str">
        <x:v>PASS</x:v>
      </x:c>
      <x:c r="P50" s="31" t="str">
        <x:v>SIN PROBLEMA</x:v>
      </x:c>
      <x:c r="Q50" s="32" t="str">
        <x:v>Coincide con el estado esperado; la respuesta y las fuentes visibles son coherentes con la referencia.</x:v>
      </x:c>
      <x:c r="R50" s="33" t="str">
        <x:f>IF($O50="","",Resumen!$B$5)</x:f>
        <x:v>Usuario (caso 1); Codex + Playwright (casos 2-60)</x:v>
      </x:c>
      <x:c r="S50" s="34" t="n">
        <x:f>IF($O50="","",Resumen!$B$6)</x:f>
        <x:v>46323.625</x:v>
      </x:c>
      <x:c r="T50" s="33" t="str">
        <x:f t="shared" si="1"/>
        <x:v>REVISADO - PASS</x:v>
      </x:c>
    </x:row>
    <x:row r="51" ht="72" customHeight="1">
      <x:c r="A51" s="29" t="s">
        <x:v>264</x:v>
      </x:c>
      <x:c r="B51" s="29" t="s">
        <x:v>183</x:v>
      </x:c>
      <x:c r="C51" s="29" t="s">
        <x:v>58</x:v>
      </x:c>
      <x:c r="D51" s="29" t="s">
        <x:v>59</x:v>
      </x:c>
      <x:c r="E51" s="30" t="s">
        <x:v>265</x:v>
      </x:c>
      <x:c r="F51" s="30" t="s">
        <x:v>30</x:v>
      </x:c>
      <x:c r="G51" s="30" t="s">
        <x:v>266</x:v>
      </x:c>
      <x:c r="H51" s="30" t="s">
        <x:v>267</x:v>
      </x:c>
      <x:c r="I51" s="30" t="s">
        <x:v>262</x:v>
      </x:c>
      <x:c r="J51" s="30" t="s">
        <x:v>268</x:v>
      </x:c>
      <x:c r="K51" s="31" t="str">
        <x:v>answered</x:v>
      </x:c>
      <x:c r="L51" s="32" t="str">
        <x:v>La irrigación de lechuga debe ser regular porque su sistema radical es superficial y necesita un suministro constante de agua para evitar el estrés hídrico y asegurar un crecimiento uniforme.
Fuentes visibles: Lechuga</x:v>
      </x:c>
      <x:c r="M51" s="31" t="str">
        <x:v>FAIL</x:v>
      </x:c>
      <x:c r="N51" s="31" t="str">
        <x:v>PASS</x:v>
      </x:c>
      <x:c r="O51" s="31" t="str">
        <x:v>FAIL</x:v>
      </x:c>
      <x:c r="P51" s="31" t="str">
        <x:v>FALTA INFORMACIÓN</x:v>
      </x:c>
      <x:c r="Q51" s="32" t="str">
        <x:v>Describe raíces superficiales, pero omite el rango de 10 a 25 cm y la relación con el bajo volumen de suelo explorado.</x:v>
      </x:c>
      <x:c r="R51" s="33" t="str">
        <x:f>IF($O51="","",Resumen!$B$5)</x:f>
        <x:v>Usuario (caso 1); Codex + Playwright (casos 2-60)</x:v>
      </x:c>
      <x:c r="S51" s="34" t="n">
        <x:f>IF($O51="","",Resumen!$B$6)</x:f>
        <x:v>46323.625</x:v>
      </x:c>
      <x:c r="T51" s="33" t="str">
        <x:f t="shared" si="1"/>
        <x:v>REVISADO - FAIL</x:v>
      </x:c>
    </x:row>
    <x:row r="52" ht="72" customHeight="1">
      <x:c r="A52" s="29" t="s">
        <x:v>269</x:v>
      </x:c>
      <x:c r="B52" s="29" t="s">
        <x:v>183</x:v>
      </x:c>
      <x:c r="C52" s="29" t="s">
        <x:v>58</x:v>
      </x:c>
      <x:c r="D52" s="29" t="s">
        <x:v>82</x:v>
      </x:c>
      <x:c r="E52" s="30" t="s">
        <x:v>270</x:v>
      </x:c>
      <x:c r="F52" s="30" t="s">
        <x:v>30</x:v>
      </x:c>
      <x:c r="G52" s="30" t="s">
        <x:v>271</x:v>
      </x:c>
      <x:c r="H52" s="30" t="s">
        <x:v>272</x:v>
      </x:c>
      <x:c r="I52" s="30" t="s">
        <x:v>273</x:v>
      </x:c>
      <x:c r="J52" s="30" t="s">
        <x:v>274</x:v>
      </x:c>
      <x:c r="K52" s="31" t="str">
        <x:v>answered</x:v>
      </x:c>
      <x:c r="L52" s="32" t="str">
        <x:v>La frecuencia mínima de riego superficial para tomate es de 3 días.
Fuentes visibles: Recomendaciones generales para cultivar hortalizas: tomate</x:v>
      </x:c>
      <x:c r="M52" s="31" t="str">
        <x:v>FAIL</x:v>
      </x:c>
      <x:c r="N52" s="31" t="str">
        <x:v>PASS</x:v>
      </x:c>
      <x:c r="O52" s="31" t="str">
        <x:v>FAIL</x:v>
      </x:c>
      <x:c r="P52" s="31" t="str">
        <x:v>FALTA INFORMACIÓN</x:v>
      </x:c>
      <x:c r="Q52" s="32" t="str">
        <x:v>Da la frecuencia mínima de tres días, pero omite que la textura del suelo puede modificar la decisión.</x:v>
      </x:c>
      <x:c r="R52" s="33" t="str">
        <x:f>IF($O52="","",Resumen!$B$5)</x:f>
        <x:v>Usuario (caso 1); Codex + Playwright (casos 2-60)</x:v>
      </x:c>
      <x:c r="S52" s="34" t="n">
        <x:f>IF($O52="","",Resumen!$B$6)</x:f>
        <x:v>46323.625</x:v>
      </x:c>
      <x:c r="T52" s="33" t="str">
        <x:f t="shared" si="1"/>
        <x:v>REVISADO - FAIL</x:v>
      </x:c>
    </x:row>
    <x:row r="53" ht="72" customHeight="1">
      <x:c r="A53" s="29" t="s">
        <x:v>275</x:v>
      </x:c>
      <x:c r="B53" s="29" t="s">
        <x:v>183</x:v>
      </x:c>
      <x:c r="C53" s="29" t="s">
        <x:v>58</x:v>
      </x:c>
      <x:c r="D53" s="29" t="s">
        <x:v>82</x:v>
      </x:c>
      <x:c r="E53" s="30" t="s">
        <x:v>276</x:v>
      </x:c>
      <x:c r="F53" s="30" t="s">
        <x:v>30</x:v>
      </x:c>
      <x:c r="G53" s="30" t="s">
        <x:v>277</x:v>
      </x:c>
      <x:c r="H53" s="30" t="s">
        <x:v>278</x:v>
      </x:c>
      <x:c r="I53" s="30" t="s">
        <x:v>273</x:v>
      </x:c>
      <x:c r="J53" s="30" t="s">
        <x:v>274</x:v>
      </x:c>
      <x:c r="K53" s="31" t="str">
        <x:v>answered</x:v>
      </x:c>
      <x:c r="L53" s="32" t="str">
        <x:v>Se debe tener especial precaución de no realizar riegos excesivos en suelos pesados para evitar pudriciones en el cuello de la planta.
Fuentes visibles: Recomendaciones generales para cultivar hortalizas: tomate</x:v>
      </x:c>
      <x:c r="M53" s="31" t="str">
        <x:v>PASS</x:v>
      </x:c>
      <x:c r="N53" s="31" t="str">
        <x:v>PASS</x:v>
      </x:c>
      <x:c r="O53" s="31" t="str">
        <x:v>PASS</x:v>
      </x:c>
      <x:c r="P53" s="31" t="str">
        <x:v>SIN PROBLEMA</x:v>
      </x:c>
      <x:c r="Q53" s="32" t="str">
        <x:v>Coincide con el estado esperado; la respuesta y las fuentes visibles son coherentes con la referencia.</x:v>
      </x:c>
      <x:c r="R53" s="33" t="str">
        <x:f>IF($O53="","",Resumen!$B$5)</x:f>
        <x:v>Usuario (caso 1); Codex + Playwright (casos 2-60)</x:v>
      </x:c>
      <x:c r="S53" s="34" t="n">
        <x:f>IF($O53="","",Resumen!$B$6)</x:f>
        <x:v>46323.625</x:v>
      </x:c>
      <x:c r="T53" s="33" t="str">
        <x:f t="shared" si="1"/>
        <x:v>REVISADO - PASS</x:v>
      </x:c>
    </x:row>
    <x:row r="54" ht="72" customHeight="1">
      <x:c r="A54" s="29" t="s">
        <x:v>279</x:v>
      </x:c>
      <x:c r="B54" s="29" t="s">
        <x:v>183</x:v>
      </x:c>
      <x:c r="C54" s="29" t="s">
        <x:v>157</x:v>
      </x:c>
      <x:c r="D54" s="29" t="s">
        <x:v>59</x:v>
      </x:c>
      <x:c r="E54" s="30" t="s">
        <x:v>280</x:v>
      </x:c>
      <x:c r="F54" s="30" t="s">
        <x:v>32</x:v>
      </x:c>
      <x:c r="G54" s="30"/>
      <x:c r="H54" s="30"/>
      <x:c r="I54" s="30"/>
      <x:c r="J54" s="30"/>
      <x:c r="K54" s="31" t="str">
        <x:v>insufficient_evidence</x:v>
      </x:c>
      <x:c r="L54" s="32" t="str">
        <x:v>No hay evidencia suficiente para una respuesta verificada.</x:v>
      </x:c>
      <x:c r="M54" s="31" t="str">
        <x:v>NO APLICA</x:v>
      </x:c>
      <x:c r="N54" s="31" t="str">
        <x:v>NO APLICA</x:v>
      </x:c>
      <x:c r="O54" s="31" t="str">
        <x:v>PASS</x:v>
      </x:c>
      <x:c r="P54" s="31" t="str">
        <x:v>SIN PROBLEMA</x:v>
      </x:c>
      <x:c r="Q54" s="32" t="str">
        <x:v>Coincide con el estado esperado; la revisión factual y de citas no aplica.</x:v>
      </x:c>
      <x:c r="R54" s="33" t="str">
        <x:f>IF($O54="","",Resumen!$B$5)</x:f>
        <x:v>Usuario (caso 1); Codex + Playwright (casos 2-60)</x:v>
      </x:c>
      <x:c r="S54" s="34" t="n">
        <x:f>IF($O54="","",Resumen!$B$6)</x:f>
        <x:v>46323.625</x:v>
      </x:c>
      <x:c r="T54" s="33" t="str">
        <x:f t="shared" si="1"/>
        <x:v>REVISADO - PASS</x:v>
      </x:c>
    </x:row>
    <x:row r="55" ht="72" customHeight="1">
      <x:c r="A55" s="29" t="s">
        <x:v>281</x:v>
      </x:c>
      <x:c r="B55" s="29" t="s">
        <x:v>183</x:v>
      </x:c>
      <x:c r="C55" s="29" t="s">
        <x:v>157</x:v>
      </x:c>
      <x:c r="D55" s="29" t="s">
        <x:v>82</x:v>
      </x:c>
      <x:c r="E55" s="30" t="s">
        <x:v>282</x:v>
      </x:c>
      <x:c r="F55" s="30" t="s">
        <x:v>32</x:v>
      </x:c>
      <x:c r="G55" s="30"/>
      <x:c r="H55" s="30"/>
      <x:c r="I55" s="30"/>
      <x:c r="J55" s="30"/>
      <x:c r="K55" s="31" t="str">
        <x:v>insufficient_evidence</x:v>
      </x:c>
      <x:c r="L55" s="32" t="str">
        <x:v>No hay evidencia suficiente para una respuesta verificada.</x:v>
      </x:c>
      <x:c r="M55" s="31" t="str">
        <x:v>NO APLICA</x:v>
      </x:c>
      <x:c r="N55" s="31" t="str">
        <x:v>NO APLICA</x:v>
      </x:c>
      <x:c r="O55" s="31" t="str">
        <x:v>PASS</x:v>
      </x:c>
      <x:c r="P55" s="31" t="str">
        <x:v>SIN PROBLEMA</x:v>
      </x:c>
      <x:c r="Q55" s="32" t="str">
        <x:v>Coincide con el estado esperado; la revisión factual y de citas no aplica.</x:v>
      </x:c>
      <x:c r="R55" s="33" t="str">
        <x:f>IF($O55="","",Resumen!$B$5)</x:f>
        <x:v>Usuario (caso 1); Codex + Playwright (casos 2-60)</x:v>
      </x:c>
      <x:c r="S55" s="34" t="n">
        <x:f>IF($O55="","",Resumen!$B$6)</x:f>
        <x:v>46323.625</x:v>
      </x:c>
      <x:c r="T55" s="33" t="str">
        <x:f t="shared" si="1"/>
        <x:v>REVISADO - PASS</x:v>
      </x:c>
    </x:row>
    <x:row r="56" ht="72" customHeight="1">
      <x:c r="A56" s="29" t="s">
        <x:v>283</x:v>
      </x:c>
      <x:c r="B56" s="29" t="s">
        <x:v>183</x:v>
      </x:c>
      <x:c r="C56" s="29" t="s">
        <x:v>157</x:v>
      </x:c>
      <x:c r="D56" s="29" t="s">
        <x:v>82</x:v>
      </x:c>
      <x:c r="E56" s="30" t="s">
        <x:v>284</x:v>
      </x:c>
      <x:c r="F56" s="30" t="s">
        <x:v>32</x:v>
      </x:c>
      <x:c r="G56" s="30"/>
      <x:c r="H56" s="30"/>
      <x:c r="I56" s="30"/>
      <x:c r="J56" s="30"/>
      <x:c r="K56" s="31" t="str">
        <x:v>insufficient_evidence</x:v>
      </x:c>
      <x:c r="L56" s="32" t="str">
        <x:v>No hay evidencia suficiente para una respuesta verificada.</x:v>
      </x:c>
      <x:c r="M56" s="31" t="str">
        <x:v>NO APLICA</x:v>
      </x:c>
      <x:c r="N56" s="31" t="str">
        <x:v>NO APLICA</x:v>
      </x:c>
      <x:c r="O56" s="31" t="str">
        <x:v>PASS</x:v>
      </x:c>
      <x:c r="P56" s="31" t="str">
        <x:v>SIN PROBLEMA</x:v>
      </x:c>
      <x:c r="Q56" s="32" t="str">
        <x:v>Coincide con el estado esperado; la revisión factual y de citas no aplica.</x:v>
      </x:c>
      <x:c r="R56" s="33" t="str">
        <x:f>IF($O56="","",Resumen!$B$5)</x:f>
        <x:v>Usuario (caso 1); Codex + Playwright (casos 2-60)</x:v>
      </x:c>
      <x:c r="S56" s="34" t="n">
        <x:f>IF($O56="","",Resumen!$B$6)</x:f>
        <x:v>46323.625</x:v>
      </x:c>
      <x:c r="T56" s="33" t="str">
        <x:f t="shared" si="1"/>
        <x:v>REVISADO - PASS</x:v>
      </x:c>
    </x:row>
    <x:row r="57" ht="72" customHeight="1">
      <x:c r="A57" s="29" t="s">
        <x:v>285</x:v>
      </x:c>
      <x:c r="B57" s="29" t="s">
        <x:v>183</x:v>
      </x:c>
      <x:c r="C57" s="29" t="s">
        <x:v>157</x:v>
      </x:c>
      <x:c r="D57" s="29" t="s">
        <x:v>59</x:v>
      </x:c>
      <x:c r="E57" s="30" t="s">
        <x:v>286</x:v>
      </x:c>
      <x:c r="F57" s="30" t="s">
        <x:v>32</x:v>
      </x:c>
      <x:c r="G57" s="30"/>
      <x:c r="H57" s="30"/>
      <x:c r="I57" s="30"/>
      <x:c r="J57" s="30"/>
      <x:c r="K57" s="31" t="str">
        <x:v>insufficient_evidence</x:v>
      </x:c>
      <x:c r="L57" s="32" t="str">
        <x:v>No hay evidencia suficiente para una respuesta verificada.</x:v>
      </x:c>
      <x:c r="M57" s="31" t="str">
        <x:v>NO APLICA</x:v>
      </x:c>
      <x:c r="N57" s="31" t="str">
        <x:v>NO APLICA</x:v>
      </x:c>
      <x:c r="O57" s="31" t="str">
        <x:v>PASS</x:v>
      </x:c>
      <x:c r="P57" s="31" t="str">
        <x:v>SIN PROBLEMA</x:v>
      </x:c>
      <x:c r="Q57" s="32" t="str">
        <x:v>Coincide con el estado esperado; la revisión factual y de citas no aplica.</x:v>
      </x:c>
      <x:c r="R57" s="33" t="str">
        <x:f>IF($O57="","",Resumen!$B$5)</x:f>
        <x:v>Usuario (caso 1); Codex + Playwright (casos 2-60)</x:v>
      </x:c>
      <x:c r="S57" s="34" t="n">
        <x:f>IF($O57="","",Resumen!$B$6)</x:f>
        <x:v>46323.625</x:v>
      </x:c>
      <x:c r="T57" s="33" t="str">
        <x:f t="shared" si="1"/>
        <x:v>REVISADO - PASS</x:v>
      </x:c>
    </x:row>
    <x:row r="58" ht="72" customHeight="1">
      <x:c r="A58" s="29" t="s">
        <x:v>287</x:v>
      </x:c>
      <x:c r="B58" s="29" t="s">
        <x:v>183</x:v>
      </x:c>
      <x:c r="C58" s="29" t="s">
        <x:v>157</x:v>
      </x:c>
      <x:c r="D58" s="29"/>
      <x:c r="E58" s="30" t="s">
        <x:v>288</x:v>
      </x:c>
      <x:c r="F58" s="30" t="s">
        <x:v>32</x:v>
      </x:c>
      <x:c r="G58" s="30"/>
      <x:c r="H58" s="30"/>
      <x:c r="I58" s="30"/>
      <x:c r="J58" s="30"/>
      <x:c r="K58" s="31" t="str">
        <x:v>insufficient_evidence</x:v>
      </x:c>
      <x:c r="L58" s="32" t="str">
        <x:v>No hay evidencia suficiente para una respuesta verificada.</x:v>
      </x:c>
      <x:c r="M58" s="31" t="str">
        <x:v>NO APLICA</x:v>
      </x:c>
      <x:c r="N58" s="31" t="str">
        <x:v>NO APLICA</x:v>
      </x:c>
      <x:c r="O58" s="31" t="str">
        <x:v>PASS</x:v>
      </x:c>
      <x:c r="P58" s="31" t="str">
        <x:v>SIN PROBLEMA</x:v>
      </x:c>
      <x:c r="Q58" s="32" t="str">
        <x:v>Coincide con el estado esperado; la revisión factual y de citas no aplica.</x:v>
      </x:c>
      <x:c r="R58" s="33" t="str">
        <x:f>IF($O58="","",Resumen!$B$5)</x:f>
        <x:v>Usuario (caso 1); Codex + Playwright (casos 2-60)</x:v>
      </x:c>
      <x:c r="S58" s="34" t="n">
        <x:f>IF($O58="","",Resumen!$B$6)</x:f>
        <x:v>46323.625</x:v>
      </x:c>
      <x:c r="T58" s="33" t="str">
        <x:f t="shared" si="1"/>
        <x:v>REVISADO - PASS</x:v>
      </x:c>
    </x:row>
    <x:row r="59" ht="72" customHeight="1">
      <x:c r="A59" s="29" t="s">
        <x:v>289</x:v>
      </x:c>
      <x:c r="B59" s="29" t="s">
        <x:v>183</x:v>
      </x:c>
      <x:c r="C59" s="29" t="s">
        <x:v>157</x:v>
      </x:c>
      <x:c r="D59" s="29"/>
      <x:c r="E59" s="30" t="s">
        <x:v>290</x:v>
      </x:c>
      <x:c r="F59" s="30" t="s">
        <x:v>32</x:v>
      </x:c>
      <x:c r="G59" s="30"/>
      <x:c r="H59" s="30"/>
      <x:c r="I59" s="30"/>
      <x:c r="J59" s="30"/>
      <x:c r="K59" s="31" t="str">
        <x:v>insufficient_evidence</x:v>
      </x:c>
      <x:c r="L59" s="32" t="str">
        <x:v>No hay evidencia suficiente para una respuesta verificada.</x:v>
      </x:c>
      <x:c r="M59" s="31" t="str">
        <x:v>NO APLICA</x:v>
      </x:c>
      <x:c r="N59" s="31" t="str">
        <x:v>NO APLICA</x:v>
      </x:c>
      <x:c r="O59" s="31" t="str">
        <x:v>PASS</x:v>
      </x:c>
      <x:c r="P59" s="31" t="str">
        <x:v>SIN PROBLEMA</x:v>
      </x:c>
      <x:c r="Q59" s="32" t="str">
        <x:v>Coincide con el estado esperado; la revisión factual y de citas no aplica.</x:v>
      </x:c>
      <x:c r="R59" s="33" t="str">
        <x:f>IF($O59="","",Resumen!$B$5)</x:f>
        <x:v>Usuario (caso 1); Codex + Playwright (casos 2-60)</x:v>
      </x:c>
      <x:c r="S59" s="34" t="n">
        <x:f>IF($O59="","",Resumen!$B$6)</x:f>
        <x:v>46323.625</x:v>
      </x:c>
      <x:c r="T59" s="33" t="str">
        <x:f t="shared" si="1"/>
        <x:v>REVISADO - PASS</x:v>
      </x:c>
    </x:row>
    <x:row r="60" ht="72" customHeight="1">
      <x:c r="A60" s="29" t="s">
        <x:v>291</x:v>
      </x:c>
      <x:c r="B60" s="29" t="s">
        <x:v>183</x:v>
      </x:c>
      <x:c r="C60" s="29" t="s">
        <x:v>170</x:v>
      </x:c>
      <x:c r="D60" s="29"/>
      <x:c r="E60" s="30" t="s">
        <x:v>292</x:v>
      </x:c>
      <x:c r="F60" s="30" t="s">
        <x:v>31</x:v>
      </x:c>
      <x:c r="G60" s="30"/>
      <x:c r="H60" s="30"/>
      <x:c r="I60" s="30"/>
      <x:c r="J60" s="30"/>
      <x:c r="K60" s="31" t="str">
        <x:v>needs_clarification</x:v>
      </x:c>
      <x:c r="L60" s="32" t="str">
        <x:v>Falta contexto para responder:
cultivo específico para recomendar sistema de riego</x:v>
      </x:c>
      <x:c r="M60" s="31" t="str">
        <x:v>NO APLICA</x:v>
      </x:c>
      <x:c r="N60" s="31" t="str">
        <x:v>NO APLICA</x:v>
      </x:c>
      <x:c r="O60" s="31" t="str">
        <x:v>PASS</x:v>
      </x:c>
      <x:c r="P60" s="31" t="str">
        <x:v>SIN PROBLEMA</x:v>
      </x:c>
      <x:c r="Q60" s="32" t="str">
        <x:v>Coincide con el estado esperado; la revisión factual y de citas no aplica.</x:v>
      </x:c>
      <x:c r="R60" s="33" t="str">
        <x:f>IF($O60="","",Resumen!$B$5)</x:f>
        <x:v>Usuario (caso 1); Codex + Playwright (casos 2-60)</x:v>
      </x:c>
      <x:c r="S60" s="34" t="n">
        <x:f>IF($O60="","",Resumen!$B$6)</x:f>
        <x:v>46323.625</x:v>
      </x:c>
      <x:c r="T60" s="33" t="str">
        <x:f t="shared" si="1"/>
        <x:v>REVISADO - PASS</x:v>
      </x:c>
    </x:row>
    <x:row r="61" ht="72" customHeight="1">
      <x:c r="A61" s="29" t="s">
        <x:v>293</x:v>
      </x:c>
      <x:c r="B61" s="29" t="s">
        <x:v>183</x:v>
      </x:c>
      <x:c r="C61" s="29" t="s">
        <x:v>170</x:v>
      </x:c>
      <x:c r="D61" s="29"/>
      <x:c r="E61" s="30" t="s">
        <x:v>294</x:v>
      </x:c>
      <x:c r="F61" s="30" t="s">
        <x:v>31</x:v>
      </x:c>
      <x:c r="G61" s="30"/>
      <x:c r="H61" s="30"/>
      <x:c r="I61" s="30"/>
      <x:c r="J61" s="30"/>
      <x:c r="K61" s="31" t="str">
        <x:v>needs_clarification</x:v>
      </x:c>
      <x:c r="L61" s="32" t="str">
        <x:v>Falta contexto para responder:
Indicar cultivo, etapa, frecuencia de riego y condiciones actuales del suelo y del ambiente.</x:v>
      </x:c>
      <x:c r="M61" s="31" t="str">
        <x:v>NO APLICA</x:v>
      </x:c>
      <x:c r="N61" s="31" t="str">
        <x:v>NO APLICA</x:v>
      </x:c>
      <x:c r="O61" s="31" t="str">
        <x:v>PASS</x:v>
      </x:c>
      <x:c r="P61" s="31" t="str">
        <x:v>SIN PROBLEMA</x:v>
      </x:c>
      <x:c r="Q61" s="32" t="str">
        <x:v>Coincide con el estado esperado; la revisión factual y de citas no aplica.</x:v>
      </x:c>
      <x:c r="R61" s="33" t="str">
        <x:f>IF($O61="","",Resumen!$B$5)</x:f>
        <x:v>Usuario (caso 1); Codex + Playwright (casos 2-60)</x:v>
      </x:c>
      <x:c r="S61" s="34" t="n">
        <x:f>IF($O61="","",Resumen!$B$6)</x:f>
        <x:v>46323.625</x:v>
      </x:c>
      <x:c r="T61" s="33" t="str">
        <x:f t="shared" si="1"/>
        <x:v>REVISADO - PASS</x:v>
      </x:c>
    </x:row>
    <x:row r="62" ht="72" customHeight="1">
      <x:c r="A62" s="29" t="s">
        <x:v>295</x:v>
      </x:c>
      <x:c r="B62" s="29" t="s">
        <x:v>183</x:v>
      </x:c>
      <x:c r="C62" s="29" t="s">
        <x:v>170</x:v>
      </x:c>
      <x:c r="D62" s="29"/>
      <x:c r="E62" s="30" t="s">
        <x:v>296</x:v>
      </x:c>
      <x:c r="F62" s="30" t="s">
        <x:v>31</x:v>
      </x:c>
      <x:c r="G62" s="30"/>
      <x:c r="H62" s="30"/>
      <x:c r="I62" s="30"/>
      <x:c r="J62" s="30"/>
      <x:c r="K62" s="31" t="str">
        <x:v>needs_clarification</x:v>
      </x:c>
      <x:c r="L62" s="32" t="str">
        <x:v>Falta contexto para responder:
cultivo específico para ajustar recomendaciones de conductividad</x:v>
      </x:c>
      <x:c r="M62" s="31" t="str">
        <x:v>NO APLICA</x:v>
      </x:c>
      <x:c r="N62" s="31" t="str">
        <x:v>NO APLICA</x:v>
      </x:c>
      <x:c r="O62" s="31" t="str">
        <x:v>PASS</x:v>
      </x:c>
      <x:c r="P62" s="31" t="str">
        <x:v>SIN PROBLEMA</x:v>
      </x:c>
      <x:c r="Q62" s="32" t="str">
        <x:v>Coincide con el estado esperado; la revisión factual y de citas no aplica.</x:v>
      </x:c>
      <x:c r="R62" s="33" t="str">
        <x:f>IF($O62="","",Resumen!$B$5)</x:f>
        <x:v>Usuario (caso 1); Codex + Playwright (casos 2-60)</x:v>
      </x:c>
      <x:c r="S62" s="34" t="n">
        <x:f>IF($O62="","",Resumen!$B$6)</x:f>
        <x:v>46323.625</x:v>
      </x:c>
      <x:c r="T62" s="33" t="str">
        <x:f t="shared" si="1"/>
        <x:v>REVISADO - PASS</x:v>
      </x:c>
    </x:row>
    <x:row r="63" ht="72" customHeight="1">
      <x:c r="A63" s="29" t="s">
        <x:v>297</x:v>
      </x:c>
      <x:c r="B63" s="29" t="s">
        <x:v>183</x:v>
      </x:c>
      <x:c r="C63" s="29" t="s">
        <x:v>170</x:v>
      </x:c>
      <x:c r="D63" s="29" t="s">
        <x:v>82</x:v>
      </x:c>
      <x:c r="E63" s="30" t="s">
        <x:v>298</x:v>
      </x:c>
      <x:c r="F63" s="30" t="s">
        <x:v>31</x:v>
      </x:c>
      <x:c r="G63" s="30"/>
      <x:c r="H63" s="30"/>
      <x:c r="I63" s="30"/>
      <x:c r="J63" s="30"/>
      <x:c r="K63" s="31" t="str">
        <x:v>needs_clarification</x:v>
      </x:c>
      <x:c r="L63" s="32" t="str">
        <x:v>Falta contexto para responder:
Indicar cultivo, etapa, frecuencia de riego y condiciones actuales del suelo y del ambiente.</x:v>
      </x:c>
      <x:c r="M63" s="31" t="str">
        <x:v>NO APLICA</x:v>
      </x:c>
      <x:c r="N63" s="31" t="str">
        <x:v>NO APLICA</x:v>
      </x:c>
      <x:c r="O63" s="31" t="str">
        <x:v>PASS</x:v>
      </x:c>
      <x:c r="P63" s="31" t="str">
        <x:v>SIN PROBLEMA</x:v>
      </x:c>
      <x:c r="Q63" s="32" t="str">
        <x:v>Coincide con el estado esperado; la revisión factual y de citas no aplica.</x:v>
      </x:c>
      <x:c r="R63" s="33" t="str">
        <x:f>IF($O63="","",Resumen!$B$5)</x:f>
        <x:v>Usuario (caso 1); Codex + Playwright (casos 2-60)</x:v>
      </x:c>
      <x:c r="S63" s="34" t="n">
        <x:f>IF($O63="","",Resumen!$B$6)</x:f>
        <x:v>46323.625</x:v>
      </x:c>
      <x:c r="T63" s="33" t="str">
        <x:f t="shared" si="1"/>
        <x:v>REVISADO - PASS</x:v>
      </x:c>
    </x:row>
    <x:row r="64" ht="72" customHeight="1">
      <x:c r="A64" s="29" t="s">
        <x:v>299</x:v>
      </x:c>
      <x:c r="B64" s="29" t="s">
        <x:v>183</x:v>
      </x:c>
      <x:c r="C64" s="29" t="s">
        <x:v>170</x:v>
      </x:c>
      <x:c r="D64" s="29"/>
      <x:c r="E64" s="30" t="s">
        <x:v>300</x:v>
      </x:c>
      <x:c r="F64" s="30" t="s">
        <x:v>31</x:v>
      </x:c>
      <x:c r="G64" s="30"/>
      <x:c r="H64" s="30"/>
      <x:c r="I64" s="30"/>
      <x:c r="J64" s="30"/>
      <x:c r="K64" s="31" t="str">
        <x:v>needs_clarification</x:v>
      </x:c>
      <x:c r="L64" s="32" t="str">
        <x:v>Falta contexto para responder:
Indicar cultivo, etapa, frecuencia de riego y condiciones actuales del suelo y del ambiente.</x:v>
      </x:c>
      <x:c r="M64" s="31" t="str">
        <x:v>NO APLICA</x:v>
      </x:c>
      <x:c r="N64" s="31" t="str">
        <x:v>NO APLICA</x:v>
      </x:c>
      <x:c r="O64" s="31" t="str">
        <x:v>PASS</x:v>
      </x:c>
      <x:c r="P64" s="31" t="str">
        <x:v>SIN PROBLEMA</x:v>
      </x:c>
      <x:c r="Q64" s="32" t="str">
        <x:v>Coincide con el estado esperado; la revisión factual y de citas no aplica.</x:v>
      </x:c>
      <x:c r="R64" s="33" t="str">
        <x:f>IF($O64="","",Resumen!$B$5)</x:f>
        <x:v>Usuario (caso 1); Codex + Playwright (casos 2-60)</x:v>
      </x:c>
      <x:c r="S64" s="34" t="n">
        <x:f>IF($O64="","",Resumen!$B$6)</x:f>
        <x:v>46323.625</x:v>
      </x:c>
      <x:c r="T64" s="33" t="str">
        <x:f t="shared" si="1"/>
        <x:v>REVISADO - PASS</x:v>
      </x:c>
    </x:row>
    <x:row r="65" ht="72" customHeight="1">
      <x:c r="A65" s="29" t="s">
        <x:v>301</x:v>
      </x:c>
      <x:c r="B65" s="29" t="s">
        <x:v>183</x:v>
      </x:c>
      <x:c r="C65" s="29" t="s">
        <x:v>170</x:v>
      </x:c>
      <x:c r="D65" s="29" t="s">
        <x:v>59</x:v>
      </x:c>
      <x:c r="E65" s="30" t="s">
        <x:v>302</x:v>
      </x:c>
      <x:c r="F65" s="30" t="s">
        <x:v>31</x:v>
      </x:c>
      <x:c r="G65" s="30"/>
      <x:c r="H65" s="30"/>
      <x:c r="I65" s="30"/>
      <x:c r="J65" s="30"/>
      <x:c r="K65" s="31" t="str">
        <x:v>needs_clarification</x:v>
      </x:c>
      <x:c r="L65" s="32" t="str">
        <x:v>Falta contexto para responder:
Indicar qué cantidad, recurso o condición se quiere evaluar y durante qué período del cultivo.</x:v>
      </x:c>
      <x:c r="M65" s="31" t="str">
        <x:v>NO APLICA</x:v>
      </x:c>
      <x:c r="N65" s="31" t="str">
        <x:v>NO APLICA</x:v>
      </x:c>
      <x:c r="O65" s="31" t="str">
        <x:v>PASS</x:v>
      </x:c>
      <x:c r="P65" s="31" t="str">
        <x:v>SIN PROBLEMA</x:v>
      </x:c>
      <x:c r="Q65" s="32" t="str">
        <x:v>Coincide con el estado esperado; la revisión factual y de citas no aplica.</x:v>
      </x:c>
      <x:c r="R65" s="33" t="str">
        <x:f>IF($O65="","",Resumen!$B$5)</x:f>
        <x:v>Usuario (caso 1); Codex + Playwright (casos 2-60)</x:v>
      </x:c>
      <x:c r="S65" s="34" t="n">
        <x:f>IF($O65="","",Resumen!$B$6)</x:f>
        <x:v>46323.625</x:v>
      </x:c>
      <x:c r="T65" s="33" t="str">
        <x:f t="shared" si="1"/>
        <x:v>REVISADO - PASS</x:v>
      </x:c>
    </x:row>
  </x:sheetData>
  <x:conditionalFormatting sqref="O6:O65">
    <x:cfRule type="containsText" dxfId="4" priority="1" operator="containsText" text="PASS"/>
    <x:cfRule type="containsText" dxfId="3" priority="2" operator="containsText" text="FAIL"/>
    <x:cfRule type="containsText" dxfId="2" priority="3" operator="containsText" text="DUDOSO"/>
  </x:conditionalFormatting>
  <x:conditionalFormatting sqref="T6:T65">
    <x:cfRule type="containsText" dxfId="1" priority="4" operator="containsText" text="PENDIENTE"/>
    <x:cfRule type="containsText" dxfId="0" priority="5" operator="containsText" text="REQUIERE"/>
  </x:conditionalFormatting>
  <x:dataValidations count="4">
    <x:dataValidation type="list" sqref="K6:K65">
      <x:formula1>"answered,needs_clarification,insufficient_evidence,error"</x:formula1>
    </x:dataValidation>
    <x:dataValidation type="list" sqref="M6:N65">
      <x:formula1>"PENDIENTE,PASS,FAIL,NO APLICA"</x:formula1>
    </x:dataValidation>
    <x:dataValidation type="list" sqref="O6:O65">
      <x:formula1>"PASS,FAIL,DUDOSO"</x:formula1>
    </x:dataValidation>
    <x:dataValidation type="list" sqref="P6:P65">
      <x:formula1>"SIN PROBLEMA,ESTADO INCORRECTO,RESPUESTA FACTUAL INCORRECTA,AFIRMACIÓN SIN RESPALDO,CITA INCORRECTA,FALTA INFORMACIÓN,ERROR TÉCNICO,ETIQUETA ESPERADA DUDOSA,OTRO"</x:formula1>
    </x:dataValidation>
  </x:dataValidations>
  <x:pageMargins left="0.7" right="0.7" top="0.75" bottom="0.75" header="0.3" footer="0.3"/>
  <x:tableParts count="1">
    <x:tablePart xmlns:r="http://schemas.openxmlformats.org/officeDocument/2006/relationships" r:id="R61757e73240d4f7f"/>
  </x:tableParts>
</x:worksheet>
</file>