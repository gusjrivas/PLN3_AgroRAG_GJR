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Repo\PLN3_AgroRAG_GJR\outputs\agro-rag-review\"/>
    </mc:Choice>
  </mc:AlternateContent>
  <xr:revisionPtr revIDLastSave="0" documentId="13_ncr:1_{64879D29-3C14-4B97-BCFD-035271C21A88}" xr6:coauthVersionLast="47" xr6:coauthVersionMax="47" xr10:uidLastSave="{00000000-0000-0000-0000-000000000000}"/>
  <bookViews>
    <workbookView xWindow="-110" yWindow="-110" windowWidth="19420" windowHeight="11500" activeTab="1" xr2:uid="{00000000-000D-0000-FFFF-FFFF00000000}"/>
  </bookViews>
  <sheets>
    <sheet name="Revisión E2" sheetId="1" r:id="rId1"/>
    <sheet name="Pasaj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1" l="1"/>
  <c r="B7" i="1"/>
  <c r="B6" i="1"/>
  <c r="E5" i="1" s="1"/>
  <c r="B5" i="1"/>
</calcChain>
</file>

<file path=xl/sharedStrings.xml><?xml version="1.0" encoding="utf-8"?>
<sst xmlns="http://schemas.openxmlformats.org/spreadsheetml/2006/main" count="419" uniqueCount="204">
  <si>
    <t>Revisión humana E2: respuestas con y sin verificador</t>
  </si>
  <si>
    <t>Completar Revisión humana, Observaciones, Revisado por y Fecha. Comparar cada respuesta con la referencia, los claims y los pasajes citados.</t>
  </si>
  <si>
    <t>Casos</t>
  </si>
  <si>
    <t>Estado de revisión</t>
  </si>
  <si>
    <t>Pendientes</t>
  </si>
  <si>
    <t>PASS</t>
  </si>
  <si>
    <t>FAIL</t>
  </si>
  <si>
    <t>query_id</t>
  </si>
  <si>
    <t>Pregunta</t>
  </si>
  <si>
    <t>Respuesta de referencia</t>
  </si>
  <si>
    <t>Claims requeridos</t>
  </si>
  <si>
    <t>Respuesta sin verificador</t>
  </si>
  <si>
    <t>Respuesta con verificador</t>
  </si>
  <si>
    <t>evidence_id citados</t>
  </si>
  <si>
    <t>Cambió</t>
  </si>
  <si>
    <t>Revisión humana</t>
  </si>
  <si>
    <t>Observaciones humanas</t>
  </si>
  <si>
    <t>Revisión agente</t>
  </si>
  <si>
    <t>Hallazgo agente</t>
  </si>
  <si>
    <t>Revisado por</t>
  </si>
  <si>
    <t>Fecha</t>
  </si>
  <si>
    <t>dev-r-001</t>
  </si>
  <si>
    <t>¿Qué temperaturas favorecen el desarrollo de la lechuga?</t>
  </si>
  <si>
    <t>La lechuga se desarrolla bien con promedios mensuales de 13 a 18 °C; el rango citado es de 7 a 24 °C y temperaturas superiores a 30 °C perjudican la germinación y el desarrollo.</t>
  </si>
  <si>
    <t>El promedio mensual favorable es de 13 a 18 °C.
Temperaturas superiores a 30 °C perjudican el cultivo.</t>
  </si>
  <si>
    <t>La lechuga se desarrolla bien en climas templados frescos, con temperaturas promedio mensuales comprendidas entre 13°C y 18°C, con un rango que puede oscilar entre 7°C y 24°C.</t>
  </si>
  <si>
    <t>Las temperaturas que favorecen el desarrollo de la lechuga están entre 13°C y 18°C, con un rango que puede oscilar entre 7°C y 24°C.</t>
  </si>
  <si>
    <t>df3b22180f03865d9b37eeb3ad74c72d84b6cd2fed74fc3122a417a42a842c8d</t>
  </si>
  <si>
    <t>SÍ</t>
  </si>
  <si>
    <t>PENDIENTE</t>
  </si>
  <si>
    <t>Omite el efecto perjudicial de temperaturas superiores a 30 °C.</t>
  </si>
  <si>
    <t>dev-r-002</t>
  </si>
  <si>
    <t>¿Por qué una temperatura mayor a 30 °C es problemática para la lechuga?</t>
  </si>
  <si>
    <t>Porque la temperatura alta, especialmente por encima de 30 °C, afecta negativamente la germinación y el desarrollo posterior, condicionando el crecimiento.</t>
  </si>
  <si>
    <t>Más de 30 °C afecta la germinación.
La temperatura alta condiciona el crecimiento posterior.</t>
  </si>
  <si>
    <t>Una temperatura mayor a 30 °C es problemática para la lechuga porque afecta negativamente la germinación y el desarrollo del cultivo.</t>
  </si>
  <si>
    <t>NO</t>
  </si>
  <si>
    <t>Sin revisión dirigida del agente.</t>
  </si>
  <si>
    <t>dev-r-003</t>
  </si>
  <si>
    <t>¿Qué métodos de riego se mencionan para la lechuga?</t>
  </si>
  <si>
    <t>Se mencionan riego por surco, inundación, aspersión, localizado, gravitacional por pulso y goteo; la elección depende del sistema y la zona de producción.</t>
  </si>
  <si>
    <t>El corpus menciona surco, inundación, aspersión y riego localizado.
También menciona riego gravitacional por pulso y goteo.</t>
  </si>
  <si>
    <t>Los métodos de riego mencionados para la lechuga son riego gravitacional por pulso, riego por aspersión y riego por goteo.</t>
  </si>
  <si>
    <t>8eda9b1a3456cede493fadcb22c3baf3f33036c34ae4cffb1465d44512ecfa9c</t>
  </si>
  <si>
    <t>dev-r-004</t>
  </si>
  <si>
    <t>¿El corpus contempla riego por aspersión y por goteo en lechuga?</t>
  </si>
  <si>
    <t>Sí. Las fuentes enumeran la aspersión y el riego por goteo entre los sistemas utilizados en lechuga.</t>
  </si>
  <si>
    <t>La aspersión está mencionada para lechuga.
El goteo está mencionado para lechuga.</t>
  </si>
  <si>
    <t>El corpus contempla riego por aspersión y por goteo en lechuga.</t>
  </si>
  <si>
    <t>dev-r-005</t>
  </si>
  <si>
    <t>¿Qué nivel de humedad del suelo se recomienda para el tomate?</t>
  </si>
  <si>
    <t>La fuente recomienda mantener el suelo cerca del 70 % de su capacidad de retención máxima.</t>
  </si>
  <si>
    <t>La recomendación citada es 70 % de la capacidad de retención máxima.</t>
  </si>
  <si>
    <t>Se recomienda mantener el suelo con un 70% de su capacidad de retención máxima para el cultivo de tomate.</t>
  </si>
  <si>
    <t>354faf3532b9536270b9f42f380fcbb1d53de7f3d9b57a5d0d64ca8310e90c78</t>
  </si>
  <si>
    <t>dev-r-006</t>
  </si>
  <si>
    <t>¿Qué riesgos tiene regar tomate por encima de la capacidad de retención del suelo?</t>
  </si>
  <si>
    <t>El exceso dificulta la respiración de las raíces, desperdicia agua y puede lavar sustancias que aportan fertilidad al suelo.</t>
  </si>
  <si>
    <t>El exceso de agua dificulta la respiración radicular.
Puede provocar lavado de sustancias fértiles.</t>
  </si>
  <si>
    <t>Regar tomate por encima de la capacidad de retención del suelo puede dificultar o impedir la respiración de las raíces y provocar el lavado de sustancias que dan fertilidad al suelo.</t>
  </si>
  <si>
    <t>dev-r-007</t>
  </si>
  <si>
    <t>¿Cuál es el período crítico del tomate frente a la falta de agua?</t>
  </si>
  <si>
    <t>El cuajado de frutos es crítico; otra fuente amplía la precaución desde el inicio de floración hasta la maduración y recomienda mantener humedad suficiente durante floración y cuaje.</t>
  </si>
  <si>
    <t>El cuajado de frutos es un período crítico.
La frecuencia debe cuidarse desde floración hasta maduración.</t>
  </si>
  <si>
    <t>El período crítico del tomate frente a la falta de agua es durante el cuajado de frutos.</t>
  </si>
  <si>
    <t>1c3ab87a9119e10257d9fd41118008571b57546a5381add1af3d121d1a858615</t>
  </si>
  <si>
    <t>dev-r-008</t>
  </si>
  <si>
    <t>¿Desde qué etapa conviene aumentar la frecuencia de riego del tomate?</t>
  </si>
  <si>
    <t>La fuente indica aumentar la frecuencia al inicio de la floración y mantenerla hasta la maduración del fruto, con atención especial a floración y cuaje.</t>
  </si>
  <si>
    <t>La frecuencia aumenta al inicio de floración.
Se mantiene hasta la maduración del fruto.</t>
  </si>
  <si>
    <t>La frecuencia de riego del tomate debe aumentarse al inicio de la floración y mantenerse hasta la maduración del fruto.</t>
  </si>
  <si>
    <t>e107e0e395b514cf76601a4052c41499fae88601fcfaa590a500f9c91038cebb</t>
  </si>
  <si>
    <t>dev-r-009</t>
  </si>
  <si>
    <t>¿Qué es la evapotranspiración?</t>
  </si>
  <si>
    <t>Es la combinación de la evaporación desde el suelo y la transpiración desde las plantas, procesos que ocurren simultáneamente.</t>
  </si>
  <si>
    <t>La evapotranspiración combina evaporación y transpiración.
Ambos procesos ocurren simultáneamente.</t>
  </si>
  <si>
    <t>La evapotranspiración (ET) es la combinación de dos procesos: la evaporación del agua desde la superficie del suelo y la transpiración del agua desde las plantas.</t>
  </si>
  <si>
    <t>La evapotranspiración (ET) es la combinación de dos procesos: la evaporación del agua desde el suelo y la transpiración del agua desde las hojas de las plantas.</t>
  </si>
  <si>
    <t>06eb01883972c6d861772a560f2202d81f38d5f66990e60827d9aed83cab5961
61bc6dbe976723de26b81cf82c196d5533a294c43ed83d6f8d73f1e95c1bda5e</t>
  </si>
  <si>
    <t>Omite que evaporación y transpiración ocurren simultáneamente.</t>
  </si>
  <si>
    <t>dev-r-010</t>
  </si>
  <si>
    <t>¿Qué dos pérdidas de agua integran la ET?</t>
  </si>
  <si>
    <t>La ET integra la evaporación del agua desde el suelo y la transpiración del agua desde las hojas o tejidos vegetales.</t>
  </si>
  <si>
    <t>Una componente es la evaporación del suelo.
La otra componente es la transpiración vegetal.</t>
  </si>
  <si>
    <t>La evapotranspiración (ET) integra las pérdidas de agua por evaporación y transpiración.</t>
  </si>
  <si>
    <t>06eb01883972c6d861772a560f2202d81f38d5f66990e60827d9aed83cab5961</t>
  </si>
  <si>
    <t>dev-r-011</t>
  </si>
  <si>
    <t>¿Por qué estructuras pierden principalmente agua los cultivos?</t>
  </si>
  <si>
    <t>Los cultivos pierden principalmente agua por los estomas, pequeñas aberturas de las hojas por donde pasan gases y vapor de agua.</t>
  </si>
  <si>
    <t>La pérdida principal ocurre por los estomas.
Los estomas son aberturas en las hojas.</t>
  </si>
  <si>
    <t>Los cultivos pierden principalmente agua a través de la transpiración desde las hojas y la evaporación desde el suelo, procesos que en conjunto se denominan evapotranspiración.</t>
  </si>
  <si>
    <t>Los cultivos pierden principalmente agua a través de la transpiración de las hojas y la evaporación del suelo, procesos que se combinan en la evapotranspiración.</t>
  </si>
  <si>
    <t>No responde que la pérdida principal ocurre por los estomas.</t>
  </si>
  <si>
    <t>dev-r-012</t>
  </si>
  <si>
    <t>¿Qué factores se deben considerar al evaluar la transpiración?</t>
  </si>
  <si>
    <t>Se consideran radiación, temperatura del aire, humedad, viento, contenido de agua del suelo, capacidad de conducir agua a las raíces, anegamiento, salinidad y características del cultivo y manejo.</t>
  </si>
  <si>
    <t>Radiación, temperatura, humedad y viento influyen en la transpiración.
También influyen el agua del suelo, la salinidad y el cultivo.</t>
  </si>
  <si>
    <t>Los factores a considerar al evaluar la transpiración incluyen la radiación, temperatura del aire, humedad del aire, viento, contenido de agua en el suelo, capacidad del suelo para conducir agua a las raíces, características del cultivo, aspectos ambientales y prácticas de cultivo.</t>
  </si>
  <si>
    <t>329cdac0e9de37a402dc2e2284790b316d99dd23cfc2d62a6cba023ed0c3a7c3</t>
  </si>
  <si>
    <t>dev-r-013</t>
  </si>
  <si>
    <t>¿Qué significan capacidad de campo y punto de marchitez permanente?</t>
  </si>
  <si>
    <t>La capacidad de campo es el agua que el suelo retiene contra la gravedad después de saturarse; el punto de marchitez permanente es el agua remanente que las plantas ya no pueden extraer.</t>
  </si>
  <si>
    <t>La capacidad de campo es agua retenida contra la gravedad.
En el punto de marchitez la planta ya no extrae agua.</t>
  </si>
  <si>
    <t>La capacidad de campo (CC) es la cantidad de agua que un suelo puede retener contra las fuerzas de gravedad luego de su saturación.
El punto de marchitez permanente (PMP) es la cantidad de agua remanente en el suelo que las plantas no pueden extraer.</t>
  </si>
  <si>
    <t>cfea1e355bbc343d7c0fba4cfb2378959d327a0b96ee265d0916b783dcb1937a</t>
  </si>
  <si>
    <t>dev-r-014</t>
  </si>
  <si>
    <t>¿Cómo se define el agua disponible total en el suelo?</t>
  </si>
  <si>
    <t>El agua disponible total es la diferencia entre la capacidad de campo y el punto de marchitez permanente.</t>
  </si>
  <si>
    <t>ADT se calcula como capacidad de campo menos punto de marchitez permanente.</t>
  </si>
  <si>
    <t>El agua disponible total en el suelo (ADT) se define como la diferencia entre la capacidad de campo (CC) y el punto de marchitez permanente (PMP).</t>
  </si>
  <si>
    <t>dev-r-015</t>
  </si>
  <si>
    <t>¿Qué variables meteorológicas se consideran para ajustar la programación del riego?</t>
  </si>
  <si>
    <t>La programación debe ajustarse con la temperatura, humedad, precipitación, viento y radiación del ciclo en curso.</t>
  </si>
  <si>
    <t>Se consideran temperatura, humedad y precipitación.
También se consideran viento y radiación.</t>
  </si>
  <si>
    <t>Las variables meteorológicas consideradas para ajustar la programación del riego son temperatura, humedad, precipitación, viento y radiación.</t>
  </si>
  <si>
    <t>2e57dd332312bf09447cb2b8aed7d4833e509b06bf2334ef72e73cd94fe46214
5208387d04bc77975d5d325ba305cacb936129ea760c2795efb54de887f6a59c</t>
  </si>
  <si>
    <t>dev-r-016</t>
  </si>
  <si>
    <t>¿Cómo puede monitorearse la humedad o retención de agua del suelo?</t>
  </si>
  <si>
    <t>La humedad puede determinarse directamente por método gravimétrico o indirectamente con sensores; la energía de retención puede medirse con tensiómetros o bloques de yeso.</t>
  </si>
  <si>
    <t>El método gravimétrico y los sensores permiten estimar humedad.
Tensiómetros o bloques de yeso permiten evaluar retención.</t>
  </si>
  <si>
    <t>La humedad del suelo puede monitorearse mediante el método gravimétrico o con sensores de humedad de suelo. También se puede determinar la energía de retención del agua en el suelo usando tensiómetros o bloques de yeso.</t>
  </si>
  <si>
    <t>La humedad del suelo puede monitorearse mediante métodos directos como el gravimétrico o tensiómetros, y métodos indirectos como sensores de humedad de suelo o bloques de yeso.</t>
  </si>
  <si>
    <t>2e57dd332312bf09447cb2b8aed7d4833e509b06bf2334ef72e73cd94fe46214</t>
  </si>
  <si>
    <t>Conserva los métodos de humedad y retención requeridos.</t>
  </si>
  <si>
    <t>dev-r-017</t>
  </si>
  <si>
    <t>¿Qué conductividad eléctrica del agua se recomienda no superar para lechuga?</t>
  </si>
  <si>
    <t>La fuente recomienda mantener la conductividad eléctrica del agua de riego por debajo de 0,9 dS/m; a 1,4 dS/m el rendimiento potencial disminuye 10 %.</t>
  </si>
  <si>
    <t>La CE del agua debería ser menor a 0,9 dS/m.
A 1,4 dS/m se informa una disminución potencial de 10 %.</t>
  </si>
  <si>
    <t>La conductividad eléctrica del agua de riego para lechuga debería mantenerse en valores menores a 0,9 dS m-1.</t>
  </si>
  <si>
    <t>90b1847529581acb386fb07c78121faece5e3ec7fae3fcce6b08c16f5e8d9084</t>
  </si>
  <si>
    <t>dev-r-018</t>
  </si>
  <si>
    <t>¿Cómo afecta la salinidad a la absorción de agua en lechuga?</t>
  </si>
  <si>
    <t>Las sales elevan la presión osmótica y dificultan que la planta absorba agua, pudiendo causar sequía fisiológica y efectos tóxicos.</t>
  </si>
  <si>
    <t>La salinidad aumenta la presión osmótica.
Puede dificultar la absorción y causar sequía fisiológica.</t>
  </si>
  <si>
    <t>La salinidad alta en el agua de riego provoca un aumento de la presión osmótica en la solución del suelo, dificultando la absorción de agua por la lechuga y causando 'sequía fisiológica'.</t>
  </si>
  <si>
    <t>La salinidad alta en el agua de riego aumenta la presión osmótica en la solución del suelo, dificultando la absorción de agua por la lechuga y causando 'sequía fisiológica'.</t>
  </si>
  <si>
    <t>Conserva presión osmótica, dificultad de absorción y sequía fisiológica.</t>
  </si>
  <si>
    <t>Pasajes citados por las respuestas con verificador</t>
  </si>
  <si>
    <t>Fuente: benchmark EVA-01 congelado y respuestas reales E2 del 28/10/2026.</t>
  </si>
  <si>
    <t>evidence_id</t>
  </si>
  <si>
    <t>source_id</t>
  </si>
  <si>
    <t>Título</t>
  </si>
  <si>
    <t>Edición</t>
  </si>
  <si>
    <t>Página PDF</t>
  </si>
  <si>
    <t>Página impresa</t>
  </si>
  <si>
    <t>Sección</t>
  </si>
  <si>
    <t>Pasaje</t>
  </si>
  <si>
    <t>URL fuente</t>
  </si>
  <si>
    <t>INTA-HUERTA-2008</t>
  </si>
  <si>
    <t>Manual de cultivos para la huerta orgánica familiar</t>
  </si>
  <si>
    <t>1a edición, 2008</t>
  </si>
  <si>
    <t>67</t>
  </si>
  <si>
    <t>Lechuga: clima y suelo</t>
  </si>
  <si>
    <t>Clima y Suelo
La lechuga se desarrolla bien en climas templados frescos, con tempe-
raturas promedio mensuales comprendidas entre 13o y 18oC, con un
rango que puede oscilar entre 7o y 24oC, variación que permite su cul-
tivo durante todo el año, utilizando las variedades adecuadas.
La temperatura alta, principalmente aquella que supera los 30oC, es el
factor más importante que gravita negativamente en la germinación y
el posterior desarrollo del cultivo, condicionando el crecimiento.
En cuanto a las características del suelo, los que mejor se adaptan son
los de alta fertilidad (alto contenido de materia orgánica), de buen dre-
naje con alta capacidad de retención de humedad y una acidez neutra.</t>
  </si>
  <si>
    <t>https://www.argentina.gob.ar/sites/default/files/2023/08/script-tmp-manual_de_cultivos_para_la_huerta_organica_familiar_-.pdf</t>
  </si>
  <si>
    <t>INTA-LECHUGA-2022</t>
  </si>
  <si>
    <t>Lechuga</t>
  </si>
  <si>
    <t>1ra edición, septiembre de 2022</t>
  </si>
  <si>
    <t>40</t>
  </si>
  <si>
    <t>Lechuga: exceso de agua y sistemas de riego</t>
  </si>
  <si>
    <t>El aumento de las cantidades de agua aportadas en el cultivo acrecienta el volumen de
las plantas cosechadas, pero hasta un límite, el exceso de agua puede ser perjudicial
para la producción (asfixia radicular y arrastre de elementos fertilizantes).
Los sistemas de riego utilizados son diversos según las zonas de producción y tipo de
lechuga. Entre ello se puede citar: riego gravitacional por pulso, riego por aspersión y
riego por goteo (Figura 5.1).
Figura 5.1
Sistemas de riego: por aspersión y por goteo. Fotografías: M. Lopez Bilbao.</t>
  </si>
  <si>
    <t>https://repositorio.inta.gob.ar/xmlui/bitstream/handle/20.500.12123/13040/INTA_CICVyA_InstitutodeBiotecnologia_LopezBilbao_Lechuga.pdf?isAllowed=y&amp;sequence=1</t>
  </si>
  <si>
    <t>101</t>
  </si>
  <si>
    <t>Tomate: riego</t>
  </si>
  <si>
    <t>En lo que respecta al riego, lo ideal es mantener el suelo con un 70%
de su capacidad de retención máxima. Los riegos más frecuentes hacen
aumentar los rendimientos pero hay un límite fijado por las condicio-
nes del suelo, que puede retener el agua hasta una cierta capacidad.
Si esta capacidad se sobrepasa con riegos demasiados abundantes o fre-
cuentes, todo ese exceso de agua dificulta o impide la respiración de
las raíces: además de un consumo inútil de agua, se provoca el „lava-
do‰ de sustancias que dan fertilidad al suelo.</t>
  </si>
  <si>
    <t>129</t>
  </si>
  <si>
    <t>Períodos críticos</t>
  </si>
  <si>
    <t>Cultivo: Tomate; Período crítico a la falta de agua: Durante el cuajado de frutos</t>
  </si>
  <si>
    <t>INTA-TOMATE-2020</t>
  </si>
  <si>
    <t>Recomendaciones generales para cultivar hortalizas: tomate</t>
  </si>
  <si>
    <t>Hoja informativa N.º 10, octubre de 2020</t>
  </si>
  <si>
    <t>3</t>
  </si>
  <si>
    <t>Tomate: frecuencia y período crítico</t>
  </si>
  <si>
    <t>Riego
Este cultivo requiere abundante humedad siendo muy sensible al estrés hídrico. Tener
especial precaución con la frecuencia de riego, debe aumentarse al inicio de floración y
mantener hasta la maduración del fruto por ser un momento crítico; se recomienda una
frecuencia mínima de 3
días para los sistemas
con riego superficial en
general, dependiendo de
distintos factores como
la textura del suelo, así,
se deberá estar atentos
a no realizar riegos
excesivos en suelos
pesados para evitar
pudriciones en el cuello
de la planta.
foto 2</t>
  </si>
  <si>
    <t>https://repositorio.inta.gob.ar/bitstream/handle/20.500.12123/17260/INTA_CRCatamarca-LaRioja_EEAChilecito_Gaitan_JO_Recomendaciones_cultivar_hortalizas_Tomate.pdf?isAllowed=y&amp;sequence=1</t>
  </si>
  <si>
    <t>INTA-RIEGO-HORTICOLAS-2024</t>
  </si>
  <si>
    <t>Riego en cultivos hortícolas: guía de programación y planificación de riego por goteo en el Oasis Norte de Mendoza</t>
  </si>
  <si>
    <t>Documento técnico; metadata del PDF 2024, sin fecha editorial visible</t>
  </si>
  <si>
    <t>Fundamentos: evapotranspiración</t>
  </si>
  <si>
    <t>Relación agua-suelo-planta-atmósfera
La atmósfera se encuentra en permanente demanda de vapor de agua, generando una continua pérdida de
agua desde las hojas (transpiración) y desde el suelo (evaporación). La combinación de estos dos procesos
se denomina evapotranspiración (ET) (Figura 2). Ambos ocurren en forma simultánea y su dinámica es
determinada por la fracción de la radiación solar que llega a la superficie del suelo (FAO, 2006). La
evaporación del suelo es mayor durante las primeras etapas del ciclo. Luego, a medida que el cultivo crece y
cubre el suelo, la transpiración aumenta considerablemente y es la principal componente de la ET.
Transpiración (T)
Evaporación (E) Evaporación (E)
Evapotranspiración (ET) = Evaporación + Transpiración
Figura 2. Esquema de componentes de la evapotranspiración.
Ferrari,
Florencia
N.(1) y</t>
  </si>
  <si>
    <t>https://repositorio.inta.gob.ar/bitstream/handle/20.500.12123/19216/INTA_CRMendoza-SanJuan_EEAMendoza_Ferrari_F_Riego_cultivos_horticolas_guia_programacion_planificacion.pdf?isAllowed=y&amp;sequence=3</t>
  </si>
  <si>
    <t>61bc6dbe976723de26b81cf82c196d5533a294c43ed83d6f8d73f1e95c1bda5e</t>
  </si>
  <si>
    <t>FAO56-1998</t>
  </si>
  <si>
    <t>Crop evapotranspiration: Guidelines for computing crop water requirements</t>
  </si>
  <si>
    <t>1998; copia con errata y ejemplos corregidos de febrero de 2006 al final</t>
  </si>
  <si>
    <t>1</t>
  </si>
  <si>
    <t>Evaporation</t>
  </si>
  <si>
    <t>EVAPOTRANSPIRATION PROCESS
The combination of two separate processes whereby water is lost on the one hand from the
soil surface by evaporation and on the other hand from the crop by transpiration is referred to
as evapotranspiration (ET).
Evaporation
Evaporation is the process whereby liquid water is converted to water vapour (vaporization)
and removed from the evaporating surface (vapour removal). Water evaporates from a variety
of surfaces, such as lakes, rivers, pavements, soils and wet vegetation.
Energy is required to change the state of the molecules of water from liquid to vapour. Direct
solar radiation and, to a lesser extent, the ambient temperature of the air provide this energy.
The driving force to remove water vapour from the evaporating surface is the difference
between the water vapour pressure at the evaporating surface and that of the surrounding
atmosphere. As evaporation proceeds, the surrounding air becomes gradually saturated and
the process will slow down and might stop if the wet air is not transferred to the atmosphere.
The replacement of the saturated air with drier air depends greatly on wind speed. Hence,
solar radiation, air temperature, air humidity and wind speed are climatological parameters to
consider when assessing the evaporation process.</t>
  </si>
  <si>
    <t>https://www.wcc.nrcs.usda.gov/ftpref/wntsc/waterMgt/irrigation/fao56.pdf</t>
  </si>
  <si>
    <t>Transpiration</t>
  </si>
  <si>
    <t>Transpiration
Transpiration consists of the vaporization of liquid water contained in plant tissues and the
vapour removal to the atmosphere. Crops predominately lose their water through stomata.
These are small openings on the plant leaf through which gases and water vapour pass
(Figure 1). The water, together with some nutrients, is taken up by the roots and transported
through the plant. The vaporization occurs within the leaf, namely in the intercellular spaces,
and the vapour exchange with the atmosphere is controlled by the stomatal aperture. Nearly
all water taken up is lost by transpiration and only a tiny fraction is used within the plant.
Transpiration, like direct evaporation, depends on the energy supply, vapour pressure
gradient and wind. Hence, radiation, air temperature, air humidity and wind terms should be
considered when assessing transpiration. The soil water content and the ability of the soil to
conduct water to the roots also determine the transpiration rate, as do waterlogging and soil
water salinity. The transpiration rate is also influenced by crop characteristics, environmental
aspects and cultivation practices. Different kinds of plants may have different transpiration
rates. Not only the type of crop, but also the crop development, environment and
management should be</t>
  </si>
  <si>
    <t>6</t>
  </si>
  <si>
    <t>Fundamentos: agua disponible en el suelo</t>
  </si>
  <si>
    <t>La dinámica del agua en el suelo se esquematiza en la Figura 6. Allí se observan las entradas (riego, lluvia y
ascenso capilar) y las salidas (evapotranspiración, escurrimiento y percolación profunda) en el perfil del suelo.
Luego de un riego, parte del agua se pierde por gravedad, parte queda retenida en los poros del suelo como
agua capilar y parte queda retenida muy fuertemente como agua higroscópica (no puede ser extraída por las
raíces de las plantas). La capacidad de campo (CC) es la cantidad de agua que un suelo puede retener contra
las fuerzas de gravedad luego de su saturación, mientras que el punto de marchitez permanente (PMP) es la
cantidad de agua remanente en el suelo que las plantas no pueden extraer. La diferencia entre CC y PMP es
el agua disponible total en el suelo (ADT). Sólo una porción de ADT es fácilmente aprovechable por el cultivo
(AFA). Por lo tanto, AFA es igual al ADT afectado por un factor p, que representa la fracción de la humedad
total disponible que puede ser agotada por el cultivo antes de que el estrés hídrico asintomático provoque
disminución de rendimiento. Un término comúnmente utilizado por los productores es el</t>
  </si>
  <si>
    <t>12</t>
  </si>
  <si>
    <t>Programación y monitoreo del riego</t>
  </si>
  <si>
    <t>de
las condiciones meteorológicas del ciclo en curso (temperatura, humedad, precipitación, viento y radiación).
Además, para llevar a cabo dicho ajuste, es necesario en primer lugar examinar periódicamente el estado
hídrico de la planta (mediante una cámara de Scholander o un porómetro, por ejemplo) y en segundo lugar,
realizar el monitoreo periódico de la humedad de suelo. La cantidad de agua disponible en el suelo se puede
determinar en forma directa con el método gravimétrico o indirectamente con sensores de humedad de suelo.
Asímismo, es posible determinar la energía de retención del agua remanente en el suelo mediante métodos
directos (tensiómetros) o indirectos (bloques de yeso).
El método de cálculo descrito anteriormente se denomina “lámina fija y frecuencia variable”, ya que propone
una lámina similar de riego, con intervalos variables en función de los requerimientos del cultivo. Mediante las
ecuaciones 1 a 12 se realizaron los cálculos de las necesidades de riego.
En todos los casos, el equipo de riego tomado como ejemplo utiliza laterales tipo “cinta” con goteros de 1L h-
1 (Qg) para ajo, cebolla, lechuga y zanahoria y de 2 L h-1 para tomate, melón y zapallo, distanciados a 0,3 m
Ferrari,
Florencia
N.(1) y</t>
  </si>
  <si>
    <t>5208387d04bc77975d5d325ba305cacb936129ea760c2795efb54de887f6a59c</t>
  </si>
  <si>
    <t>Operación del riego
Una vez calculada la cantidad de agua que necesitan los cultivos (¿Cuánto?), se define la frecuencia de
riego (¿Cuándo?). Para ello, se determina el intervalo de riego según la ecuación 11. Para finalizar, se
estiman los tiempos de riego (¿Cómo?) de cada subunidad mediante el uso de la ecuación 12.
𝑳𝑹
𝑰𝑹 =
𝑳𝑩
Ecuación 11. Intervalo de riego (IR) en días. Donde: LR es la lámina de reposición (mm) y LB es la lámina bruta de riego
(mm día-1).
𝑳𝑹/𝑪𝑼
𝑻𝑹 =
𝑰𝑬
Ecuación 12. Tiempo de riego (TR) en horas. Donde: LR es la lámina de reposición (mm); CU es el coeficiente de
uniformidad e IE es la intensidad de erogación del equipo de riego (mm h-1).
De esta manera, se completa la programación del riego, la que debe ajustarse en tiempo real en función de
las condiciones meteorológicas del ciclo en curso (temperatura, humedad, precipitación, viento y radiación).
Además, para llevar a cabo dicho ajuste, es necesario en primer lugar examinar periódicamente el estado
hídrico de la planta (mediante una cámara de Scholander o un porómetro, por ejemplo) y en segundo lugar,
realizar el monitoreo periódico de la humedad de suelo. La cantidad de</t>
  </si>
  <si>
    <t>28</t>
  </si>
  <si>
    <t>Lechuga: suelo, agua y salinidad</t>
  </si>
  <si>
    <t>Cuando
la conductividad eléctrica (CE) del agua de riego es de 0,9 dS m-1 y la del suelo en satu-
ración es de 2,7 dS m-1, se obtienen rendimientos óptimos, mientras que cuando las CE
respectivas ascienden a 2,1 y 6,3 dS m-1 su rendimiento disminuye un 25 %. En general,
la conductividad eléctrica del agua de riego para lechuga debería mantenerse en valo-
res menores a 0,9 dS m-1 ya que con una CE de 1,4 dS m-1 el rendimiento potencial del
cultivo disminuye un 10 %.
Un nivel alto de sales en el agua de riego provoca el aumento de la presión osmótica
en la solución del suelo generando que las plantas tengan dificultad para absorber
agua produciendo incluso la denominada “sequía fisiológica”. También la salinidad
puede ocasionar efectos tóxicos, debido al incremento en la concentración de los dife-
rentes iones. El Na+ es un elemento que no es necesario en lechuga, ya que no cumple
ninguna función (estructural o metabólica). Un incremento de Na+ en los tejidos ori-
gina la disminución del crecimiento foliar, menor captación de nutrientes y diversos
problemas fisiológicos como estrés oxidativo; en consecuencia, origina un menor ren-
dimiento del cultivo.
28</t>
  </si>
  <si>
    <t>falló en la busqueda de explorar fuentes</t>
  </si>
  <si>
    <t>Gus Rivas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</si>
</sst>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font>
      <sz val="11"/>
      <name val="Carlito"/>
    </font>
    <font>
      <b/>
      <sz val="14"/>
      <color rgb="FF1F2937"/>
      <name val="Arial"/>
    </font>
    <font>
      <i/>
      <sz val="10"/>
      <color rgb="FF4B5563"/>
      <name val="Arial"/>
    </font>
    <font>
      <sz val="10"/>
      <name val="Arial"/>
    </font>
    <font>
      <b/>
      <sz val="10"/>
      <name val="Arial"/>
    </font>
    <font>
      <b/>
      <sz val="10"/>
      <color rgb="FFFFFFFF"/>
      <name val="Arial"/>
    </font>
    <font>
      <sz val="10"/>
      <color rgb="FF1F2937"/>
      <name val="Arial"/>
    </font>
  </fonts>
  <fills count="5">
    <fill>
      <patternFill patternType="none"/>
    </fill>
    <fill>
      <patternFill patternType="gray125"/>
    </fill>
    <fill>
      <patternFill patternType="solid">
        <fgColor rgb="FF1F4E78"/>
      </patternFill>
    </fill>
    <fill>
      <patternFill patternType="solid">
        <fgColor rgb="FFFFF2CC"/>
      </patternFill>
    </fill>
    <fill>
      <patternFill patternType="solid">
        <fgColor rgb="FF5B9BD5"/>
      </patternFill>
    </fill>
  </fills>
  <borders count="11">
    <border>
      <left/>
      <right/>
      <top/>
      <bottom/>
      <diagonal/>
    </border>
    <border>
      <left/>
      <right/>
      <top/>
      <bottom style="medium">
        <color rgb="FF1F4E78"/>
      </bottom>
      <diagonal/>
    </border>
    <border>
      <left style="thin">
        <color rgb="FF9CA3AF"/>
      </left>
      <right/>
      <top style="thin">
        <color rgb="FF9CA3AF"/>
      </top>
      <bottom/>
      <diagonal/>
    </border>
    <border>
      <left/>
      <right style="thin">
        <color rgb="FF9CA3AF"/>
      </right>
      <top style="thin">
        <color rgb="FF9CA3AF"/>
      </top>
      <bottom/>
      <diagonal/>
    </border>
    <border>
      <left style="thin">
        <color rgb="FF9CA3AF"/>
      </left>
      <right/>
      <top/>
      <bottom/>
      <diagonal/>
    </border>
    <border>
      <left/>
      <right style="thin">
        <color rgb="FF9CA3AF"/>
      </right>
      <top/>
      <bottom/>
      <diagonal/>
    </border>
    <border>
      <left style="thin">
        <color rgb="FF9CA3AF"/>
      </left>
      <right/>
      <top/>
      <bottom style="thin">
        <color rgb="FF9CA3AF"/>
      </bottom>
      <diagonal/>
    </border>
    <border>
      <left/>
      <right style="thin">
        <color rgb="FF9CA3AF"/>
      </right>
      <top/>
      <bottom style="thin">
        <color rgb="FF9CA3AF"/>
      </bottom>
      <diagonal/>
    </border>
    <border>
      <left style="thin">
        <color rgb="FF9CA3AF"/>
      </left>
      <right/>
      <top style="thin">
        <color rgb="FF9CA3AF"/>
      </top>
      <bottom style="thin">
        <color rgb="FF9CA3AF"/>
      </bottom>
      <diagonal/>
    </border>
    <border>
      <left/>
      <right style="thin">
        <color rgb="FF9CA3AF"/>
      </right>
      <top style="thin">
        <color rgb="FF9CA3AF"/>
      </top>
      <bottom style="thin">
        <color rgb="FF9CA3AF"/>
      </bottom>
      <diagonal/>
    </border>
    <border>
      <left/>
      <right/>
      <top/>
      <bottom style="medium">
        <color rgb="FF5B9BD5"/>
      </bottom>
      <diagonal/>
    </border>
  </borders>
  <cellStyleXfs count="1">
    <xf numFmtId="0" fontId="0" fillId="0" borderId="0"/>
  </cellStyleXfs>
  <cellXfs count="22">
    <xf numFmtId="0" fontId="0" fillId="0" borderId="0" xfId="0"/>
    <xf numFmtId="0" fontId="0" fillId="0" borderId="1" xfId="0" applyBorder="1"/>
    <xf numFmtId="0" fontId="1" fillId="0" borderId="1" xfId="0" applyFont="1" applyBorder="1"/>
    <xf numFmtId="0" fontId="2" fillId="0" borderId="0" xfId="0" applyFont="1"/>
    <xf numFmtId="0" fontId="3" fillId="0" borderId="0" xfId="0" applyFont="1"/>
    <xf numFmtId="0" fontId="4" fillId="0" borderId="2" xfId="0" applyFont="1" applyBorder="1"/>
    <xf numFmtId="0" fontId="4" fillId="0" borderId="4" xfId="0" applyFont="1" applyBorder="1"/>
    <xf numFmtId="0" fontId="4" fillId="0" borderId="6" xfId="0" applyFont="1" applyBorder="1"/>
    <xf numFmtId="0" fontId="3" fillId="0" borderId="8" xfId="0" applyFont="1" applyBorder="1"/>
    <xf numFmtId="0" fontId="3" fillId="0" borderId="9" xfId="0" applyFont="1" applyBorder="1"/>
    <xf numFmtId="1" fontId="3" fillId="0" borderId="3" xfId="0" applyNumberFormat="1" applyFont="1" applyBorder="1"/>
    <xf numFmtId="1" fontId="3" fillId="0" borderId="5" xfId="0" applyNumberFormat="1" applyFont="1" applyBorder="1"/>
    <xf numFmtId="1" fontId="3" fillId="0" borderId="7" xfId="0" applyNumberFormat="1" applyFont="1" applyBorder="1"/>
    <xf numFmtId="0" fontId="5" fillId="2" borderId="0" xfId="0" applyFont="1" applyFill="1" applyAlignment="1">
      <alignment horizontal="center" vertical="center" wrapText="1"/>
    </xf>
    <xf numFmtId="0" fontId="6" fillId="0" borderId="0" xfId="0" applyFont="1" applyAlignment="1">
      <alignment vertical="top"/>
    </xf>
    <xf numFmtId="0" fontId="6" fillId="0" borderId="0" xfId="0" applyFont="1" applyAlignment="1">
      <alignment vertical="top" wrapText="1"/>
    </xf>
    <xf numFmtId="49" fontId="6" fillId="0" borderId="0" xfId="0" applyNumberFormat="1" applyFont="1" applyAlignment="1">
      <alignment vertical="top"/>
    </xf>
    <xf numFmtId="164" fontId="6" fillId="0" borderId="0" xfId="0" applyNumberFormat="1" applyFont="1" applyAlignment="1">
      <alignment vertical="top"/>
    </xf>
    <xf numFmtId="0" fontId="6" fillId="3" borderId="0" xfId="0" applyFont="1" applyFill="1" applyAlignment="1">
      <alignment vertical="top"/>
    </xf>
    <xf numFmtId="0" fontId="0" fillId="0" borderId="10" xfId="0" applyBorder="1"/>
    <xf numFmtId="0" fontId="1" fillId="0" borderId="10" xfId="0" applyFont="1" applyBorder="1"/>
    <xf numFmtId="0" fontId="5" fillId="4" borderId="0" xfId="0" applyFont="1" applyFill="1" applyAlignment="1">
      <alignment horizontal="center" vertical="center" wrapText="1"/>
    </xf>
  </cellXfs>
  <cellStyles count="1">
    <cellStyle name="Normal" xfId="0" builtinId="0"/>
  </cellStyles>
  <dxfs count="5">
    <dxf>
      <font>
        <b/>
        <color rgb="FF9C0006"/>
      </font>
      <fill>
        <patternFill patternType="solid">
          <bgColor rgb="FFFCE8E6"/>
        </patternFill>
      </fill>
    </dxf>
    <dxf>
      <font>
        <b/>
        <color rgb="FF006100"/>
      </font>
      <fill>
        <patternFill patternType="solid">
          <bgColor rgb="FFE2F0D9"/>
        </patternFill>
      </fill>
    </dxf>
    <dxf>
      <font>
        <b/>
        <color rgb="FF9C0006"/>
      </font>
      <fill>
        <patternFill patternType="solid">
          <bgColor rgb="FFFCE8E6"/>
        </patternFill>
      </fill>
    </dxf>
    <dxf>
      <font>
        <b/>
        <color rgb="FF006100"/>
      </font>
      <fill>
        <patternFill patternType="solid">
          <bgColor rgb="FFE2F0D9"/>
        </patternFill>
      </fill>
    </dxf>
    <dxf>
      <font>
        <b/>
        <color rgb="FF7F6000"/>
      </font>
      <fill>
        <patternFill patternType="solid">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2ReviewTable" displayName="E2ReviewTable" ref="A10:N28" totalsRowShown="0">
  <tableColumns count="14">
    <tableColumn id="1" xr3:uid="{00000000-0010-0000-0000-000001000000}" name="query_id"/>
    <tableColumn id="2" xr3:uid="{00000000-0010-0000-0000-000002000000}" name="Pregunta"/>
    <tableColumn id="3" xr3:uid="{00000000-0010-0000-0000-000003000000}" name="Respuesta de referencia"/>
    <tableColumn id="4" xr3:uid="{00000000-0010-0000-0000-000004000000}" name="Claims requeridos"/>
    <tableColumn id="5" xr3:uid="{00000000-0010-0000-0000-000005000000}" name="Respuesta sin verificador"/>
    <tableColumn id="6" xr3:uid="{00000000-0010-0000-0000-000006000000}" name="Respuesta con verificador"/>
    <tableColumn id="7" xr3:uid="{00000000-0010-0000-0000-000007000000}" name="evidence_id citados"/>
    <tableColumn id="8" xr3:uid="{00000000-0010-0000-0000-000008000000}" name="Cambió"/>
    <tableColumn id="9" xr3:uid="{00000000-0010-0000-0000-000009000000}" name="Revisión humana"/>
    <tableColumn id="10" xr3:uid="{00000000-0010-0000-0000-00000A000000}" name="Observaciones humanas"/>
    <tableColumn id="11" xr3:uid="{00000000-0010-0000-0000-00000B000000}" name="Revisión agente"/>
    <tableColumn id="12" xr3:uid="{00000000-0010-0000-0000-00000C000000}" name="Hallazgo agente"/>
    <tableColumn id="13" xr3:uid="{00000000-0010-0000-0000-00000D000000}" name="Revisado por"/>
    <tableColumn id="14" xr3:uid="{00000000-0010-0000-0000-00000E000000}" name="Fech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2PassagesTable" displayName="E2PassagesTable" ref="A5:J25" totalsRowShown="0">
  <tableColumns count="10">
    <tableColumn id="1" xr3:uid="{00000000-0010-0000-0100-000001000000}" name="query_id"/>
    <tableColumn id="2" xr3:uid="{00000000-0010-0000-0100-000002000000}" name="evidence_id"/>
    <tableColumn id="3" xr3:uid="{00000000-0010-0000-0100-000003000000}" name="source_id"/>
    <tableColumn id="4" xr3:uid="{00000000-0010-0000-0100-000004000000}" name="Título"/>
    <tableColumn id="5" xr3:uid="{00000000-0010-0000-0100-000005000000}" name="Edición"/>
    <tableColumn id="6" xr3:uid="{00000000-0010-0000-0100-000006000000}" name="Página PDF"/>
    <tableColumn id="7" xr3:uid="{00000000-0010-0000-0100-000007000000}" name="Página impresa"/>
    <tableColumn id="8" xr3:uid="{00000000-0010-0000-0100-000008000000}" name="Sección"/>
    <tableColumn id="9" xr3:uid="{00000000-0010-0000-0100-000009000000}" name="Pasaje"/>
    <tableColumn id="10" xr3:uid="{00000000-0010-0000-0100-00000A000000}" name="URL fuen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2:N28"/>
  <sheetViews>
    <sheetView showGridLines="0" workbookViewId="0">
      <pane xSplit="1" ySplit="10" topLeftCell="F27" activePane="bottomRight" state="frozen"/>
      <selection pane="topRight"/>
      <selection pane="bottomLeft"/>
      <selection pane="bottomRight" activeCell="I28" sqref="I28"/>
    </sheetView>
  </sheetViews>
  <sheetFormatPr baseColWidth="10" defaultColWidth="8.6640625" defaultRowHeight="14"/>
  <cols>
    <col min="1" max="1" width="14" customWidth="1"/>
    <col min="2" max="2" width="38" customWidth="1"/>
    <col min="3" max="3" width="42" customWidth="1"/>
    <col min="4" max="4" width="38" customWidth="1"/>
    <col min="5" max="6" width="42" customWidth="1"/>
    <col min="7" max="7" width="28" customWidth="1"/>
    <col min="8" max="8" width="10" customWidth="1"/>
    <col min="9" max="9" width="18" customWidth="1"/>
    <col min="10" max="10" width="34" customWidth="1"/>
    <col min="11" max="11" width="16" customWidth="1"/>
    <col min="12" max="12" width="34" customWidth="1"/>
    <col min="13" max="13" width="18" customWidth="1"/>
    <col min="14" max="14" width="12" customWidth="1"/>
  </cols>
  <sheetData>
    <row r="2" spans="1:14" ht="18">
      <c r="A2" s="2" t="s">
        <v>0</v>
      </c>
      <c r="B2" s="1"/>
      <c r="C2" s="1"/>
      <c r="D2" s="1"/>
      <c r="E2" s="1"/>
      <c r="F2" s="1"/>
      <c r="G2" s="1"/>
      <c r="H2" s="1"/>
      <c r="I2" s="1"/>
      <c r="J2" s="1"/>
      <c r="K2" s="1"/>
      <c r="L2" s="1"/>
      <c r="M2" s="1"/>
      <c r="N2" s="1"/>
    </row>
    <row r="3" spans="1:14">
      <c r="A3" s="3" t="s">
        <v>1</v>
      </c>
      <c r="B3" s="3"/>
      <c r="C3" s="3"/>
      <c r="D3" s="3"/>
      <c r="E3" s="3"/>
      <c r="F3" s="3"/>
      <c r="G3" s="3"/>
      <c r="H3" s="3"/>
      <c r="I3" s="3"/>
      <c r="J3" s="3"/>
      <c r="K3" s="3"/>
      <c r="L3" s="3"/>
      <c r="M3" s="3"/>
      <c r="N3" s="3"/>
    </row>
    <row r="5" spans="1:14">
      <c r="A5" s="5" t="s">
        <v>2</v>
      </c>
      <c r="B5" s="10">
        <f>COUNTA($A$11:$A$28)</f>
        <v>18</v>
      </c>
      <c r="C5" s="4"/>
      <c r="D5" s="8" t="s">
        <v>3</v>
      </c>
      <c r="E5" s="9" t="str">
        <f>IF(B6=0,"COMPLETA","PENDIENTE")</f>
        <v>COMPLETA</v>
      </c>
    </row>
    <row r="6" spans="1:14">
      <c r="A6" s="6" t="s">
        <v>4</v>
      </c>
      <c r="B6" s="11">
        <f>COUNTIFS($I$11:$I$28,"PENDIENTE")</f>
        <v>0</v>
      </c>
      <c r="C6" s="4"/>
      <c r="D6" s="4"/>
      <c r="E6" s="4"/>
    </row>
    <row r="7" spans="1:14">
      <c r="A7" s="6" t="s">
        <v>5</v>
      </c>
      <c r="B7" s="11">
        <f>COUNTIFS($I$11:$I$28,"PASS")</f>
        <v>12</v>
      </c>
      <c r="C7" s="4"/>
      <c r="D7" s="4"/>
      <c r="E7" s="4"/>
    </row>
    <row r="8" spans="1:14">
      <c r="A8" s="7" t="s">
        <v>6</v>
      </c>
      <c r="B8" s="12">
        <f>COUNTIFS($I$11:$I$28,"FAIL")</f>
        <v>6</v>
      </c>
      <c r="C8" s="4"/>
      <c r="D8" s="4"/>
      <c r="E8" s="4"/>
    </row>
    <row r="10" spans="1:14" ht="36" customHeight="1">
      <c r="A10" s="13" t="s">
        <v>7</v>
      </c>
      <c r="B10" s="13" t="s">
        <v>8</v>
      </c>
      <c r="C10" s="13" t="s">
        <v>9</v>
      </c>
      <c r="D10" s="13" t="s">
        <v>10</v>
      </c>
      <c r="E10" s="13" t="s">
        <v>11</v>
      </c>
      <c r="F10" s="13" t="s">
        <v>12</v>
      </c>
      <c r="G10" s="13" t="s">
        <v>13</v>
      </c>
      <c r="H10" s="13" t="s">
        <v>14</v>
      </c>
      <c r="I10" s="13" t="s">
        <v>15</v>
      </c>
      <c r="J10" s="13" t="s">
        <v>16</v>
      </c>
      <c r="K10" s="13" t="s">
        <v>17</v>
      </c>
      <c r="L10" s="13" t="s">
        <v>18</v>
      </c>
      <c r="M10" s="13" t="s">
        <v>19</v>
      </c>
      <c r="N10" s="13" t="s">
        <v>20</v>
      </c>
    </row>
    <row r="11" spans="1:14" ht="96" customHeight="1">
      <c r="A11" s="16" t="s">
        <v>21</v>
      </c>
      <c r="B11" s="15" t="s">
        <v>22</v>
      </c>
      <c r="C11" s="15" t="s">
        <v>23</v>
      </c>
      <c r="D11" s="15" t="s">
        <v>24</v>
      </c>
      <c r="E11" s="15" t="s">
        <v>25</v>
      </c>
      <c r="F11" s="15" t="s">
        <v>26</v>
      </c>
      <c r="G11" s="15" t="s">
        <v>27</v>
      </c>
      <c r="H11" s="14" t="s">
        <v>28</v>
      </c>
      <c r="I11" s="18" t="s">
        <v>5</v>
      </c>
      <c r="J11" s="15"/>
      <c r="K11" s="15" t="s">
        <v>6</v>
      </c>
      <c r="L11" s="15" t="s">
        <v>30</v>
      </c>
      <c r="M11" s="14"/>
      <c r="N11" s="17"/>
    </row>
    <row r="12" spans="1:14" ht="96" customHeight="1">
      <c r="A12" s="16" t="s">
        <v>31</v>
      </c>
      <c r="B12" s="15" t="s">
        <v>32</v>
      </c>
      <c r="C12" s="15" t="s">
        <v>33</v>
      </c>
      <c r="D12" s="15" t="s">
        <v>34</v>
      </c>
      <c r="E12" s="15" t="s">
        <v>35</v>
      </c>
      <c r="F12" s="15" t="s">
        <v>35</v>
      </c>
      <c r="G12" s="15" t="s">
        <v>27</v>
      </c>
      <c r="H12" s="14" t="s">
        <v>36</v>
      </c>
      <c r="I12" s="18" t="s">
        <v>6</v>
      </c>
      <c r="J12" s="15" t="s">
        <v>202</v>
      </c>
      <c r="K12" s="15" t="s">
        <v>29</v>
      </c>
      <c r="L12" s="15" t="s">
        <v>37</v>
      </c>
      <c r="M12" s="14" t="s">
        <v>203</v>
      </c>
      <c r="N12" s="17"/>
    </row>
    <row r="13" spans="1:14" ht="96" customHeight="1">
      <c r="A13" s="16" t="s">
        <v>38</v>
      </c>
      <c r="B13" s="15" t="s">
        <v>39</v>
      </c>
      <c r="C13" s="15" t="s">
        <v>40</v>
      </c>
      <c r="D13" s="15" t="s">
        <v>41</v>
      </c>
      <c r="E13" s="15" t="s">
        <v>42</v>
      </c>
      <c r="F13" s="15" t="s">
        <v>42</v>
      </c>
      <c r="G13" s="15" t="s">
        <v>43</v>
      </c>
      <c r="H13" s="14" t="s">
        <v>36</v>
      </c>
      <c r="I13" s="18" t="s">
        <v>6</v>
      </c>
      <c r="J13" s="15" t="s">
        <v>202</v>
      </c>
      <c r="K13" s="15" t="s">
        <v>29</v>
      </c>
      <c r="L13" s="15" t="s">
        <v>37</v>
      </c>
      <c r="M13" s="14" t="s">
        <v>203</v>
      </c>
      <c r="N13" s="17"/>
    </row>
    <row r="14" spans="1:14" ht="96" customHeight="1">
      <c r="A14" s="16" t="s">
        <v>44</v>
      </c>
      <c r="B14" s="15" t="s">
        <v>45</v>
      </c>
      <c r="C14" s="15" t="s">
        <v>46</v>
      </c>
      <c r="D14" s="15" t="s">
        <v>47</v>
      </c>
      <c r="E14" s="15" t="s">
        <v>48</v>
      </c>
      <c r="F14" s="15" t="s">
        <v>48</v>
      </c>
      <c r="G14" s="15" t="s">
        <v>43</v>
      </c>
      <c r="H14" s="14" t="s">
        <v>36</v>
      </c>
      <c r="I14" s="18" t="s">
        <v>6</v>
      </c>
      <c r="J14" s="15" t="s">
        <v>202</v>
      </c>
      <c r="K14" s="15" t="s">
        <v>29</v>
      </c>
      <c r="L14" s="15" t="s">
        <v>37</v>
      </c>
      <c r="M14" s="14"/>
      <c r="N14" s="17"/>
    </row>
    <row r="15" spans="1:14" ht="96" customHeight="1">
      <c r="A15" s="16" t="s">
        <v>49</v>
      </c>
      <c r="B15" s="15" t="s">
        <v>50</v>
      </c>
      <c r="C15" s="15" t="s">
        <v>51</v>
      </c>
      <c r="D15" s="15" t="s">
        <v>52</v>
      </c>
      <c r="E15" s="15" t="s">
        <v>53</v>
      </c>
      <c r="F15" s="15" t="s">
        <v>53</v>
      </c>
      <c r="G15" s="15" t="s">
        <v>54</v>
      </c>
      <c r="H15" s="14" t="s">
        <v>36</v>
      </c>
      <c r="I15" s="18" t="s">
        <v>5</v>
      </c>
      <c r="J15" s="15"/>
      <c r="K15" s="15" t="s">
        <v>29</v>
      </c>
      <c r="L15" s="15" t="s">
        <v>37</v>
      </c>
      <c r="M15" s="14"/>
      <c r="N15" s="17"/>
    </row>
    <row r="16" spans="1:14" ht="96" customHeight="1">
      <c r="A16" s="16" t="s">
        <v>55</v>
      </c>
      <c r="B16" s="15" t="s">
        <v>56</v>
      </c>
      <c r="C16" s="15" t="s">
        <v>57</v>
      </c>
      <c r="D16" s="15" t="s">
        <v>58</v>
      </c>
      <c r="E16" s="15" t="s">
        <v>59</v>
      </c>
      <c r="F16" s="15" t="s">
        <v>59</v>
      </c>
      <c r="G16" s="15" t="s">
        <v>54</v>
      </c>
      <c r="H16" s="14" t="s">
        <v>36</v>
      </c>
      <c r="I16" s="18" t="s">
        <v>5</v>
      </c>
      <c r="J16" s="15"/>
      <c r="K16" s="15" t="s">
        <v>29</v>
      </c>
      <c r="L16" s="15" t="s">
        <v>37</v>
      </c>
      <c r="M16" s="14"/>
      <c r="N16" s="17"/>
    </row>
    <row r="17" spans="1:14" ht="96" customHeight="1">
      <c r="A17" s="16" t="s">
        <v>60</v>
      </c>
      <c r="B17" s="15" t="s">
        <v>61</v>
      </c>
      <c r="C17" s="15" t="s">
        <v>62</v>
      </c>
      <c r="D17" s="15" t="s">
        <v>63</v>
      </c>
      <c r="E17" s="15" t="s">
        <v>64</v>
      </c>
      <c r="F17" s="15" t="s">
        <v>64</v>
      </c>
      <c r="G17" s="15" t="s">
        <v>65</v>
      </c>
      <c r="H17" s="14" t="s">
        <v>36</v>
      </c>
      <c r="I17" s="18" t="s">
        <v>5</v>
      </c>
      <c r="J17" s="15"/>
      <c r="K17" s="15" t="s">
        <v>29</v>
      </c>
      <c r="L17" s="15" t="s">
        <v>37</v>
      </c>
      <c r="M17" s="14"/>
      <c r="N17" s="17"/>
    </row>
    <row r="18" spans="1:14" ht="96" customHeight="1">
      <c r="A18" s="16" t="s">
        <v>66</v>
      </c>
      <c r="B18" s="15" t="s">
        <v>67</v>
      </c>
      <c r="C18" s="15" t="s">
        <v>68</v>
      </c>
      <c r="D18" s="15" t="s">
        <v>69</v>
      </c>
      <c r="E18" s="15" t="s">
        <v>70</v>
      </c>
      <c r="F18" s="15" t="s">
        <v>70</v>
      </c>
      <c r="G18" s="15" t="s">
        <v>71</v>
      </c>
      <c r="H18" s="14" t="s">
        <v>36</v>
      </c>
      <c r="I18" s="18" t="s">
        <v>5</v>
      </c>
      <c r="J18" s="15"/>
      <c r="K18" s="15" t="s">
        <v>29</v>
      </c>
      <c r="L18" s="15" t="s">
        <v>37</v>
      </c>
      <c r="M18" s="14"/>
      <c r="N18" s="17"/>
    </row>
    <row r="19" spans="1:14" ht="96" customHeight="1">
      <c r="A19" s="16" t="s">
        <v>72</v>
      </c>
      <c r="B19" s="15" t="s">
        <v>73</v>
      </c>
      <c r="C19" s="15" t="s">
        <v>74</v>
      </c>
      <c r="D19" s="15" t="s">
        <v>75</v>
      </c>
      <c r="E19" s="15" t="s">
        <v>76</v>
      </c>
      <c r="F19" s="15" t="s">
        <v>77</v>
      </c>
      <c r="G19" s="15" t="s">
        <v>78</v>
      </c>
      <c r="H19" s="14" t="s">
        <v>28</v>
      </c>
      <c r="I19" s="18" t="s">
        <v>5</v>
      </c>
      <c r="J19" s="15"/>
      <c r="K19" s="15" t="s">
        <v>6</v>
      </c>
      <c r="L19" s="15" t="s">
        <v>79</v>
      </c>
      <c r="M19" s="14"/>
      <c r="N19" s="17"/>
    </row>
    <row r="20" spans="1:14" ht="96" customHeight="1">
      <c r="A20" s="16" t="s">
        <v>80</v>
      </c>
      <c r="B20" s="15" t="s">
        <v>81</v>
      </c>
      <c r="C20" s="15" t="s">
        <v>82</v>
      </c>
      <c r="D20" s="15" t="s">
        <v>83</v>
      </c>
      <c r="E20" s="15" t="s">
        <v>84</v>
      </c>
      <c r="F20" s="15" t="s">
        <v>84</v>
      </c>
      <c r="G20" s="15" t="s">
        <v>85</v>
      </c>
      <c r="H20" s="14" t="s">
        <v>36</v>
      </c>
      <c r="I20" s="18" t="s">
        <v>5</v>
      </c>
      <c r="J20" s="15"/>
      <c r="K20" s="15" t="s">
        <v>29</v>
      </c>
      <c r="L20" s="15" t="s">
        <v>37</v>
      </c>
      <c r="M20" s="14"/>
      <c r="N20" s="17"/>
    </row>
    <row r="21" spans="1:14" ht="96" customHeight="1">
      <c r="A21" s="16" t="s">
        <v>86</v>
      </c>
      <c r="B21" s="15" t="s">
        <v>87</v>
      </c>
      <c r="C21" s="15" t="s">
        <v>88</v>
      </c>
      <c r="D21" s="15" t="s">
        <v>89</v>
      </c>
      <c r="E21" s="15" t="s">
        <v>90</v>
      </c>
      <c r="F21" s="15" t="s">
        <v>91</v>
      </c>
      <c r="G21" s="15" t="s">
        <v>85</v>
      </c>
      <c r="H21" s="14" t="s">
        <v>28</v>
      </c>
      <c r="I21" s="18" t="s">
        <v>6</v>
      </c>
      <c r="J21" s="15" t="s">
        <v>202</v>
      </c>
      <c r="K21" s="15" t="s">
        <v>6</v>
      </c>
      <c r="L21" s="15" t="s">
        <v>92</v>
      </c>
      <c r="M21" s="14"/>
      <c r="N21" s="17"/>
    </row>
    <row r="22" spans="1:14" ht="96" customHeight="1">
      <c r="A22" s="16" t="s">
        <v>93</v>
      </c>
      <c r="B22" s="15" t="s">
        <v>94</v>
      </c>
      <c r="C22" s="15" t="s">
        <v>95</v>
      </c>
      <c r="D22" s="15" t="s">
        <v>96</v>
      </c>
      <c r="E22" s="15" t="s">
        <v>97</v>
      </c>
      <c r="F22" s="15" t="s">
        <v>97</v>
      </c>
      <c r="G22" s="15" t="s">
        <v>98</v>
      </c>
      <c r="H22" s="14" t="s">
        <v>36</v>
      </c>
      <c r="I22" s="18" t="s">
        <v>6</v>
      </c>
      <c r="J22" s="15" t="s">
        <v>202</v>
      </c>
      <c r="K22" s="15" t="s">
        <v>29</v>
      </c>
      <c r="L22" s="15" t="s">
        <v>37</v>
      </c>
      <c r="M22" s="14"/>
      <c r="N22" s="17"/>
    </row>
    <row r="23" spans="1:14" ht="96" customHeight="1">
      <c r="A23" s="16" t="s">
        <v>99</v>
      </c>
      <c r="B23" s="15" t="s">
        <v>100</v>
      </c>
      <c r="C23" s="15" t="s">
        <v>101</v>
      </c>
      <c r="D23" s="15" t="s">
        <v>102</v>
      </c>
      <c r="E23" s="15" t="s">
        <v>103</v>
      </c>
      <c r="F23" s="15" t="s">
        <v>103</v>
      </c>
      <c r="G23" s="15" t="s">
        <v>104</v>
      </c>
      <c r="H23" s="14" t="s">
        <v>36</v>
      </c>
      <c r="I23" s="18" t="s">
        <v>6</v>
      </c>
      <c r="J23" s="15" t="s">
        <v>202</v>
      </c>
      <c r="K23" s="15" t="s">
        <v>29</v>
      </c>
      <c r="L23" s="15" t="s">
        <v>37</v>
      </c>
      <c r="M23" s="14"/>
      <c r="N23" s="17"/>
    </row>
    <row r="24" spans="1:14" ht="96" customHeight="1">
      <c r="A24" s="16" t="s">
        <v>105</v>
      </c>
      <c r="B24" s="15" t="s">
        <v>106</v>
      </c>
      <c r="C24" s="15" t="s">
        <v>107</v>
      </c>
      <c r="D24" s="15" t="s">
        <v>108</v>
      </c>
      <c r="E24" s="15" t="s">
        <v>109</v>
      </c>
      <c r="F24" s="15" t="s">
        <v>109</v>
      </c>
      <c r="G24" s="15" t="s">
        <v>104</v>
      </c>
      <c r="H24" s="14" t="s">
        <v>36</v>
      </c>
      <c r="I24" s="18" t="s">
        <v>5</v>
      </c>
      <c r="J24" s="15"/>
      <c r="K24" s="15" t="s">
        <v>29</v>
      </c>
      <c r="L24" s="15" t="s">
        <v>37</v>
      </c>
      <c r="M24" s="14"/>
      <c r="N24" s="17"/>
    </row>
    <row r="25" spans="1:14" ht="96" customHeight="1">
      <c r="A25" s="16" t="s">
        <v>110</v>
      </c>
      <c r="B25" s="15" t="s">
        <v>111</v>
      </c>
      <c r="C25" s="15" t="s">
        <v>112</v>
      </c>
      <c r="D25" s="15" t="s">
        <v>113</v>
      </c>
      <c r="E25" s="15" t="s">
        <v>114</v>
      </c>
      <c r="F25" s="15" t="s">
        <v>114</v>
      </c>
      <c r="G25" s="15" t="s">
        <v>115</v>
      </c>
      <c r="H25" s="14" t="s">
        <v>36</v>
      </c>
      <c r="I25" s="18" t="s">
        <v>5</v>
      </c>
      <c r="J25" s="15"/>
      <c r="K25" s="15" t="s">
        <v>29</v>
      </c>
      <c r="L25" s="15" t="s">
        <v>37</v>
      </c>
      <c r="M25" s="14"/>
      <c r="N25" s="17"/>
    </row>
    <row r="26" spans="1:14" ht="96" customHeight="1">
      <c r="A26" s="16" t="s">
        <v>116</v>
      </c>
      <c r="B26" s="15" t="s">
        <v>117</v>
      </c>
      <c r="C26" s="15" t="s">
        <v>118</v>
      </c>
      <c r="D26" s="15" t="s">
        <v>119</v>
      </c>
      <c r="E26" s="15" t="s">
        <v>120</v>
      </c>
      <c r="F26" s="15" t="s">
        <v>121</v>
      </c>
      <c r="G26" s="15" t="s">
        <v>122</v>
      </c>
      <c r="H26" s="14" t="s">
        <v>28</v>
      </c>
      <c r="I26" s="18" t="s">
        <v>5</v>
      </c>
      <c r="J26" s="15"/>
      <c r="K26" s="15" t="s">
        <v>5</v>
      </c>
      <c r="L26" s="15" t="s">
        <v>123</v>
      </c>
      <c r="M26" s="14"/>
      <c r="N26" s="17"/>
    </row>
    <row r="27" spans="1:14" ht="96" customHeight="1">
      <c r="A27" s="16" t="s">
        <v>124</v>
      </c>
      <c r="B27" s="15" t="s">
        <v>125</v>
      </c>
      <c r="C27" s="15" t="s">
        <v>126</v>
      </c>
      <c r="D27" s="15" t="s">
        <v>127</v>
      </c>
      <c r="E27" s="15" t="s">
        <v>128</v>
      </c>
      <c r="F27" s="15" t="s">
        <v>128</v>
      </c>
      <c r="G27" s="15" t="s">
        <v>129</v>
      </c>
      <c r="H27" s="14" t="s">
        <v>36</v>
      </c>
      <c r="I27" s="18" t="s">
        <v>5</v>
      </c>
      <c r="J27" s="15"/>
      <c r="K27" s="15" t="s">
        <v>29</v>
      </c>
      <c r="L27" s="15" t="s">
        <v>37</v>
      </c>
      <c r="M27" s="14"/>
      <c r="N27" s="17"/>
    </row>
    <row r="28" spans="1:14" ht="96" customHeight="1">
      <c r="A28" s="16" t="s">
        <v>130</v>
      </c>
      <c r="B28" s="15" t="s">
        <v>131</v>
      </c>
      <c r="C28" s="15" t="s">
        <v>132</v>
      </c>
      <c r="D28" s="15" t="s">
        <v>133</v>
      </c>
      <c r="E28" s="15" t="s">
        <v>134</v>
      </c>
      <c r="F28" s="15" t="s">
        <v>135</v>
      </c>
      <c r="G28" s="15" t="s">
        <v>129</v>
      </c>
      <c r="H28" s="14" t="s">
        <v>28</v>
      </c>
      <c r="I28" s="18" t="s">
        <v>5</v>
      </c>
      <c r="J28" s="15"/>
      <c r="K28" s="15" t="s">
        <v>5</v>
      </c>
      <c r="L28" s="15" t="s">
        <v>136</v>
      </c>
      <c r="M28" s="14"/>
      <c r="N28" s="17"/>
    </row>
  </sheetData>
  <conditionalFormatting sqref="E5">
    <cfRule type="cellIs" dxfId="4" priority="5" operator="equal">
      <formula>"PENDIENTE"</formula>
    </cfRule>
  </conditionalFormatting>
  <conditionalFormatting sqref="I11:I28">
    <cfRule type="cellIs" dxfId="3" priority="1" operator="equal">
      <formula>"PASS"</formula>
    </cfRule>
    <cfRule type="cellIs" dxfId="2" priority="2" operator="equal">
      <formula>"FAIL"</formula>
    </cfRule>
  </conditionalFormatting>
  <conditionalFormatting sqref="K11:K28">
    <cfRule type="cellIs" dxfId="1" priority="3" operator="equal">
      <formula>"PASS"</formula>
    </cfRule>
    <cfRule type="cellIs" dxfId="0" priority="4" operator="equal">
      <formula>"FAIL"</formula>
    </cfRule>
  </conditionalFormatting>
  <dataValidations count="1">
    <dataValidation type="list" sqref="I11:I28" xr:uid="{00000000-0002-0000-0000-000000000000}">
      <formula1>"PENDIENTE,PASS,FAIL"</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J25"/>
  <sheetViews>
    <sheetView showGridLines="0" tabSelected="1" workbookViewId="0">
      <pane xSplit="2" ySplit="5" topLeftCell="C23" activePane="bottomRight" state="frozen"/>
      <selection pane="topRight"/>
      <selection pane="bottomLeft"/>
      <selection pane="bottomRight" activeCell="A26" sqref="A26"/>
    </sheetView>
  </sheetViews>
  <sheetFormatPr baseColWidth="10" defaultColWidth="8.6640625" defaultRowHeight="14"/>
  <cols>
    <col min="1" max="1" width="14" customWidth="1"/>
    <col min="2" max="2" width="28" customWidth="1"/>
    <col min="3" max="3" width="20" customWidth="1"/>
    <col min="4" max="4" width="28" customWidth="1"/>
    <col min="5" max="5" width="14" customWidth="1"/>
    <col min="6" max="6" width="12" customWidth="1"/>
    <col min="7" max="7" width="14" customWidth="1"/>
    <col min="8" max="8" width="28" customWidth="1"/>
    <col min="9" max="9" width="80" customWidth="1"/>
    <col min="10" max="10" width="36" customWidth="1"/>
  </cols>
  <sheetData>
    <row r="2" spans="1:10" ht="18">
      <c r="A2" s="20" t="s">
        <v>137</v>
      </c>
      <c r="B2" s="19"/>
      <c r="C2" s="19"/>
      <c r="D2" s="19"/>
      <c r="E2" s="19"/>
      <c r="F2" s="19"/>
      <c r="G2" s="19"/>
      <c r="H2" s="19"/>
      <c r="I2" s="19"/>
      <c r="J2" s="19"/>
    </row>
    <row r="3" spans="1:10">
      <c r="A3" s="3" t="s">
        <v>138</v>
      </c>
      <c r="B3" s="3"/>
      <c r="C3" s="3"/>
      <c r="D3" s="3"/>
      <c r="E3" s="3"/>
      <c r="F3" s="3"/>
      <c r="G3" s="3"/>
      <c r="H3" s="3"/>
      <c r="I3" s="3"/>
      <c r="J3" s="3"/>
    </row>
    <row r="5" spans="1:10">
      <c r="A5" s="21" t="s">
        <v>7</v>
      </c>
      <c r="B5" s="21" t="s">
        <v>139</v>
      </c>
      <c r="C5" s="21" t="s">
        <v>140</v>
      </c>
      <c r="D5" s="21" t="s">
        <v>141</v>
      </c>
      <c r="E5" s="21" t="s">
        <v>142</v>
      </c>
      <c r="F5" s="21" t="s">
        <v>143</v>
      </c>
      <c r="G5" s="21" t="s">
        <v>144</v>
      </c>
      <c r="H5" s="21" t="s">
        <v>145</v>
      </c>
      <c r="I5" s="21" t="s">
        <v>146</v>
      </c>
      <c r="J5" s="21" t="s">
        <v>147</v>
      </c>
    </row>
    <row r="6" spans="1:10" ht="84" customHeight="1">
      <c r="A6" s="14" t="s">
        <v>21</v>
      </c>
      <c r="B6" s="14" t="s">
        <v>27</v>
      </c>
      <c r="C6" s="14" t="s">
        <v>148</v>
      </c>
      <c r="D6" s="14" t="s">
        <v>149</v>
      </c>
      <c r="E6" s="14" t="s">
        <v>150</v>
      </c>
      <c r="F6" s="14">
        <v>69</v>
      </c>
      <c r="G6" s="14" t="s">
        <v>151</v>
      </c>
      <c r="H6" s="15" t="s">
        <v>152</v>
      </c>
      <c r="I6" s="15" t="s">
        <v>153</v>
      </c>
      <c r="J6" s="14" t="s">
        <v>154</v>
      </c>
    </row>
    <row r="7" spans="1:10" ht="84" customHeight="1">
      <c r="A7" s="14" t="s">
        <v>31</v>
      </c>
      <c r="B7" s="14" t="s">
        <v>27</v>
      </c>
      <c r="C7" s="14" t="s">
        <v>148</v>
      </c>
      <c r="D7" s="14" t="s">
        <v>149</v>
      </c>
      <c r="E7" s="14" t="s">
        <v>150</v>
      </c>
      <c r="F7" s="14">
        <v>69</v>
      </c>
      <c r="G7" s="14" t="s">
        <v>151</v>
      </c>
      <c r="H7" s="15" t="s">
        <v>152</v>
      </c>
      <c r="I7" s="15" t="s">
        <v>153</v>
      </c>
      <c r="J7" s="14" t="s">
        <v>154</v>
      </c>
    </row>
    <row r="8" spans="1:10" ht="84" customHeight="1">
      <c r="A8" s="14" t="s">
        <v>38</v>
      </c>
      <c r="B8" s="14" t="s">
        <v>43</v>
      </c>
      <c r="C8" s="14" t="s">
        <v>155</v>
      </c>
      <c r="D8" s="14" t="s">
        <v>156</v>
      </c>
      <c r="E8" s="14" t="s">
        <v>157</v>
      </c>
      <c r="F8" s="14">
        <v>40</v>
      </c>
      <c r="G8" s="14" t="s">
        <v>158</v>
      </c>
      <c r="H8" s="15" t="s">
        <v>159</v>
      </c>
      <c r="I8" s="15" t="s">
        <v>160</v>
      </c>
      <c r="J8" s="14" t="s">
        <v>161</v>
      </c>
    </row>
    <row r="9" spans="1:10" ht="84" customHeight="1">
      <c r="A9" s="14" t="s">
        <v>44</v>
      </c>
      <c r="B9" s="14" t="s">
        <v>43</v>
      </c>
      <c r="C9" s="14" t="s">
        <v>155</v>
      </c>
      <c r="D9" s="14" t="s">
        <v>156</v>
      </c>
      <c r="E9" s="14" t="s">
        <v>157</v>
      </c>
      <c r="F9" s="14">
        <v>40</v>
      </c>
      <c r="G9" s="14" t="s">
        <v>158</v>
      </c>
      <c r="H9" s="15" t="s">
        <v>159</v>
      </c>
      <c r="I9" s="15" t="s">
        <v>160</v>
      </c>
      <c r="J9" s="14" t="s">
        <v>161</v>
      </c>
    </row>
    <row r="10" spans="1:10" ht="84" customHeight="1">
      <c r="A10" s="14" t="s">
        <v>49</v>
      </c>
      <c r="B10" s="14" t="s">
        <v>54</v>
      </c>
      <c r="C10" s="14" t="s">
        <v>148</v>
      </c>
      <c r="D10" s="14" t="s">
        <v>149</v>
      </c>
      <c r="E10" s="14" t="s">
        <v>150</v>
      </c>
      <c r="F10" s="14">
        <v>103</v>
      </c>
      <c r="G10" s="14" t="s">
        <v>162</v>
      </c>
      <c r="H10" s="15" t="s">
        <v>163</v>
      </c>
      <c r="I10" s="15" t="s">
        <v>164</v>
      </c>
      <c r="J10" s="14" t="s">
        <v>154</v>
      </c>
    </row>
    <row r="11" spans="1:10" ht="84" customHeight="1">
      <c r="A11" s="14" t="s">
        <v>55</v>
      </c>
      <c r="B11" s="14" t="s">
        <v>54</v>
      </c>
      <c r="C11" s="14" t="s">
        <v>148</v>
      </c>
      <c r="D11" s="14" t="s">
        <v>149</v>
      </c>
      <c r="E11" s="14" t="s">
        <v>150</v>
      </c>
      <c r="F11" s="14">
        <v>103</v>
      </c>
      <c r="G11" s="14" t="s">
        <v>162</v>
      </c>
      <c r="H11" s="15" t="s">
        <v>163</v>
      </c>
      <c r="I11" s="15" t="s">
        <v>164</v>
      </c>
      <c r="J11" s="14" t="s">
        <v>154</v>
      </c>
    </row>
    <row r="12" spans="1:10" ht="84" customHeight="1">
      <c r="A12" s="14" t="s">
        <v>60</v>
      </c>
      <c r="B12" s="14" t="s">
        <v>65</v>
      </c>
      <c r="C12" s="14" t="s">
        <v>148</v>
      </c>
      <c r="D12" s="14" t="s">
        <v>149</v>
      </c>
      <c r="E12" s="14" t="s">
        <v>150</v>
      </c>
      <c r="F12" s="14">
        <v>131</v>
      </c>
      <c r="G12" s="14" t="s">
        <v>165</v>
      </c>
      <c r="H12" s="15" t="s">
        <v>166</v>
      </c>
      <c r="I12" s="15" t="s">
        <v>167</v>
      </c>
      <c r="J12" s="14" t="s">
        <v>154</v>
      </c>
    </row>
    <row r="13" spans="1:10" ht="84" customHeight="1">
      <c r="A13" s="14" t="s">
        <v>66</v>
      </c>
      <c r="B13" s="14" t="s">
        <v>71</v>
      </c>
      <c r="C13" s="14" t="s">
        <v>168</v>
      </c>
      <c r="D13" s="14" t="s">
        <v>169</v>
      </c>
      <c r="E13" s="14" t="s">
        <v>170</v>
      </c>
      <c r="F13" s="14">
        <v>3</v>
      </c>
      <c r="G13" s="14" t="s">
        <v>171</v>
      </c>
      <c r="H13" s="15" t="s">
        <v>172</v>
      </c>
      <c r="I13" s="15" t="s">
        <v>173</v>
      </c>
      <c r="J13" s="14" t="s">
        <v>174</v>
      </c>
    </row>
    <row r="14" spans="1:10" ht="84" customHeight="1">
      <c r="A14" s="14" t="s">
        <v>72</v>
      </c>
      <c r="B14" s="14" t="s">
        <v>85</v>
      </c>
      <c r="C14" s="14" t="s">
        <v>175</v>
      </c>
      <c r="D14" s="14" t="s">
        <v>176</v>
      </c>
      <c r="E14" s="14" t="s">
        <v>177</v>
      </c>
      <c r="F14" s="14">
        <v>3</v>
      </c>
      <c r="G14" s="14" t="s">
        <v>171</v>
      </c>
      <c r="H14" s="15" t="s">
        <v>178</v>
      </c>
      <c r="I14" s="15" t="s">
        <v>179</v>
      </c>
      <c r="J14" s="14" t="s">
        <v>180</v>
      </c>
    </row>
    <row r="15" spans="1:10" ht="84" customHeight="1">
      <c r="A15" s="14" t="s">
        <v>72</v>
      </c>
      <c r="B15" s="14" t="s">
        <v>181</v>
      </c>
      <c r="C15" s="14" t="s">
        <v>182</v>
      </c>
      <c r="D15" s="14" t="s">
        <v>183</v>
      </c>
      <c r="E15" s="14" t="s">
        <v>184</v>
      </c>
      <c r="F15" s="14">
        <v>27</v>
      </c>
      <c r="G15" s="14" t="s">
        <v>185</v>
      </c>
      <c r="H15" s="15" t="s">
        <v>186</v>
      </c>
      <c r="I15" s="15" t="s">
        <v>187</v>
      </c>
      <c r="J15" s="14" t="s">
        <v>188</v>
      </c>
    </row>
    <row r="16" spans="1:10" ht="84" customHeight="1">
      <c r="A16" s="14" t="s">
        <v>80</v>
      </c>
      <c r="B16" s="14" t="s">
        <v>85</v>
      </c>
      <c r="C16" s="14" t="s">
        <v>175</v>
      </c>
      <c r="D16" s="14" t="s">
        <v>176</v>
      </c>
      <c r="E16" s="14" t="s">
        <v>177</v>
      </c>
      <c r="F16" s="14">
        <v>3</v>
      </c>
      <c r="G16" s="14" t="s">
        <v>171</v>
      </c>
      <c r="H16" s="15" t="s">
        <v>178</v>
      </c>
      <c r="I16" s="15" t="s">
        <v>179</v>
      </c>
      <c r="J16" s="14" t="s">
        <v>180</v>
      </c>
    </row>
    <row r="17" spans="1:10" ht="84" customHeight="1">
      <c r="A17" s="14" t="s">
        <v>86</v>
      </c>
      <c r="B17" s="14" t="s">
        <v>85</v>
      </c>
      <c r="C17" s="14" t="s">
        <v>175</v>
      </c>
      <c r="D17" s="14" t="s">
        <v>176</v>
      </c>
      <c r="E17" s="14" t="s">
        <v>177</v>
      </c>
      <c r="F17" s="14">
        <v>3</v>
      </c>
      <c r="G17" s="14" t="s">
        <v>171</v>
      </c>
      <c r="H17" s="15" t="s">
        <v>178</v>
      </c>
      <c r="I17" s="15" t="s">
        <v>179</v>
      </c>
      <c r="J17" s="14" t="s">
        <v>180</v>
      </c>
    </row>
    <row r="18" spans="1:10" ht="84" customHeight="1">
      <c r="A18" s="14" t="s">
        <v>93</v>
      </c>
      <c r="B18" s="14" t="s">
        <v>98</v>
      </c>
      <c r="C18" s="14" t="s">
        <v>182</v>
      </c>
      <c r="D18" s="14" t="s">
        <v>183</v>
      </c>
      <c r="E18" s="14" t="s">
        <v>184</v>
      </c>
      <c r="F18" s="14">
        <v>29</v>
      </c>
      <c r="G18" s="14" t="s">
        <v>171</v>
      </c>
      <c r="H18" s="15" t="s">
        <v>189</v>
      </c>
      <c r="I18" s="15" t="s">
        <v>190</v>
      </c>
      <c r="J18" s="14" t="s">
        <v>188</v>
      </c>
    </row>
    <row r="19" spans="1:10" ht="84" customHeight="1">
      <c r="A19" s="14" t="s">
        <v>99</v>
      </c>
      <c r="B19" s="14" t="s">
        <v>104</v>
      </c>
      <c r="C19" s="14" t="s">
        <v>175</v>
      </c>
      <c r="D19" s="14" t="s">
        <v>176</v>
      </c>
      <c r="E19" s="14" t="s">
        <v>177</v>
      </c>
      <c r="F19" s="14">
        <v>6</v>
      </c>
      <c r="G19" s="14" t="s">
        <v>191</v>
      </c>
      <c r="H19" s="15" t="s">
        <v>192</v>
      </c>
      <c r="I19" s="15" t="s">
        <v>193</v>
      </c>
      <c r="J19" s="14" t="s">
        <v>180</v>
      </c>
    </row>
    <row r="20" spans="1:10" ht="84" customHeight="1">
      <c r="A20" s="14" t="s">
        <v>105</v>
      </c>
      <c r="B20" s="14" t="s">
        <v>104</v>
      </c>
      <c r="C20" s="14" t="s">
        <v>175</v>
      </c>
      <c r="D20" s="14" t="s">
        <v>176</v>
      </c>
      <c r="E20" s="14" t="s">
        <v>177</v>
      </c>
      <c r="F20" s="14">
        <v>6</v>
      </c>
      <c r="G20" s="14" t="s">
        <v>191</v>
      </c>
      <c r="H20" s="15" t="s">
        <v>192</v>
      </c>
      <c r="I20" s="15" t="s">
        <v>193</v>
      </c>
      <c r="J20" s="14" t="s">
        <v>180</v>
      </c>
    </row>
    <row r="21" spans="1:10" ht="84" customHeight="1">
      <c r="A21" s="14" t="s">
        <v>110</v>
      </c>
      <c r="B21" s="14" t="s">
        <v>122</v>
      </c>
      <c r="C21" s="14" t="s">
        <v>175</v>
      </c>
      <c r="D21" s="14" t="s">
        <v>176</v>
      </c>
      <c r="E21" s="14" t="s">
        <v>177</v>
      </c>
      <c r="F21" s="14">
        <v>12</v>
      </c>
      <c r="G21" s="14" t="s">
        <v>194</v>
      </c>
      <c r="H21" s="15" t="s">
        <v>195</v>
      </c>
      <c r="I21" s="15" t="s">
        <v>196</v>
      </c>
      <c r="J21" s="14" t="s">
        <v>180</v>
      </c>
    </row>
    <row r="22" spans="1:10" ht="84" customHeight="1">
      <c r="A22" s="14" t="s">
        <v>110</v>
      </c>
      <c r="B22" s="14" t="s">
        <v>197</v>
      </c>
      <c r="C22" s="14" t="s">
        <v>175</v>
      </c>
      <c r="D22" s="14" t="s">
        <v>176</v>
      </c>
      <c r="E22" s="14" t="s">
        <v>177</v>
      </c>
      <c r="F22" s="14">
        <v>12</v>
      </c>
      <c r="G22" s="14" t="s">
        <v>194</v>
      </c>
      <c r="H22" s="15" t="s">
        <v>195</v>
      </c>
      <c r="I22" s="15" t="s">
        <v>198</v>
      </c>
      <c r="J22" s="14" t="s">
        <v>180</v>
      </c>
    </row>
    <row r="23" spans="1:10" ht="84" customHeight="1">
      <c r="A23" s="14" t="s">
        <v>116</v>
      </c>
      <c r="B23" s="14" t="s">
        <v>122</v>
      </c>
      <c r="C23" s="14" t="s">
        <v>175</v>
      </c>
      <c r="D23" s="14" t="s">
        <v>176</v>
      </c>
      <c r="E23" s="14" t="s">
        <v>177</v>
      </c>
      <c r="F23" s="14">
        <v>12</v>
      </c>
      <c r="G23" s="14" t="s">
        <v>194</v>
      </c>
      <c r="H23" s="15" t="s">
        <v>195</v>
      </c>
      <c r="I23" s="15" t="s">
        <v>196</v>
      </c>
      <c r="J23" s="14" t="s">
        <v>180</v>
      </c>
    </row>
    <row r="24" spans="1:10" ht="84" customHeight="1">
      <c r="A24" s="14" t="s">
        <v>124</v>
      </c>
      <c r="B24" s="14" t="s">
        <v>129</v>
      </c>
      <c r="C24" s="14" t="s">
        <v>155</v>
      </c>
      <c r="D24" s="14" t="s">
        <v>156</v>
      </c>
      <c r="E24" s="14" t="s">
        <v>157</v>
      </c>
      <c r="F24" s="14">
        <v>28</v>
      </c>
      <c r="G24" s="14" t="s">
        <v>199</v>
      </c>
      <c r="H24" s="15" t="s">
        <v>200</v>
      </c>
      <c r="I24" s="15" t="s">
        <v>201</v>
      </c>
      <c r="J24" s="14" t="s">
        <v>161</v>
      </c>
    </row>
    <row r="25" spans="1:10" ht="84" customHeight="1">
      <c r="A25" s="14" t="s">
        <v>130</v>
      </c>
      <c r="B25" s="14" t="s">
        <v>129</v>
      </c>
      <c r="C25" s="14" t="s">
        <v>155</v>
      </c>
      <c r="D25" s="14" t="s">
        <v>156</v>
      </c>
      <c r="E25" s="14" t="s">
        <v>157</v>
      </c>
      <c r="F25" s="14">
        <v>28</v>
      </c>
      <c r="G25" s="14" t="s">
        <v>199</v>
      </c>
      <c r="H25" s="15" t="s">
        <v>200</v>
      </c>
      <c r="I25" s="15" t="s">
        <v>201</v>
      </c>
      <c r="J25" s="14" t="s">
        <v>161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Revisión E2</vt:lpstr>
      <vt:lpstr>Pasajes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Gustavo Rivas</cp:lastModifiedBy>
  <dcterms:modified xsi:type="dcterms:W3CDTF">2026-10-30T00:57:59Z</dcterms:modified>
</cp:coreProperties>
</file>